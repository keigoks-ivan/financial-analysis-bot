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 Estimates" sheetId="1" state="visible" r:id="rId3"/>
    <sheet name="Notes" sheetId="2" state="visible" r:id="rId4"/>
  </sheets>
  <definedNames>
    <definedName function="false" hidden="true" localSheetId="0" name="_xlnm._FilterDatabase" vbProcedure="false">'EPS Estimates'!$A$1:$G$207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<sst xmlns="http://schemas.openxmlformats.org/spreadsheetml/2006/main" count="239" uniqueCount="239">
  <si>
    <t xml:space="preserve">Ticker</t>
  </si>
  <si>
    <t xml:space="preserve">FY1E EPS (Norm Est Avg)</t>
  </si>
  <si>
    <t xml:space="preserve">FY2E EPS (Norm Est Avg)</t>
  </si>
  <si>
    <t xml:space="preserve">FY3E EPS (Norm Est Avg)</t>
  </si>
  <si>
    <t xml:space="preserve">FY1→FY2 Growth %</t>
  </si>
  <si>
    <t xml:space="preserve">FY2→FY3 Growth %</t>
  </si>
  <si>
    <t xml:space="preserve">FY1→FY3 CAGR %</t>
  </si>
  <si>
    <t xml:space="preserve">2308</t>
  </si>
  <si>
    <t xml:space="preserve">2330</t>
  </si>
  <si>
    <t xml:space="preserve">2383</t>
  </si>
  <si>
    <t xml:space="preserve">2454</t>
  </si>
  <si>
    <t xml:space="preserve">3017</t>
  </si>
  <si>
    <t xml:space="preserve">3037</t>
  </si>
  <si>
    <t xml:space="preserve">3443</t>
  </si>
  <si>
    <t xml:space="preserve">3661</t>
  </si>
  <si>
    <t xml:space="preserve">6146</t>
  </si>
  <si>
    <t xml:space="preserve">6857</t>
  </si>
  <si>
    <t xml:space="preserve">AAPL</t>
  </si>
  <si>
    <t xml:space="preserve">ABB</t>
  </si>
  <si>
    <t xml:space="preserve">ABBV</t>
  </si>
  <si>
    <t xml:space="preserve">ABNB</t>
  </si>
  <si>
    <t xml:space="preserve">ADI</t>
  </si>
  <si>
    <t xml:space="preserve">AENA</t>
  </si>
  <si>
    <t xml:space="preserve">ALAB</t>
  </si>
  <si>
    <t xml:space="preserve">ALV</t>
  </si>
  <si>
    <t xml:space="preserve">AMAT</t>
  </si>
  <si>
    <t xml:space="preserve">AMD</t>
  </si>
  <si>
    <t xml:space="preserve">AMKR</t>
  </si>
  <si>
    <t xml:space="preserve">AMZN</t>
  </si>
  <si>
    <t xml:space="preserve">ANET</t>
  </si>
  <si>
    <t xml:space="preserve">APH</t>
  </si>
  <si>
    <t xml:space="preserve">APP</t>
  </si>
  <si>
    <t xml:space="preserve">ARM</t>
  </si>
  <si>
    <t xml:space="preserve">ARW</t>
  </si>
  <si>
    <t xml:space="preserve">ASML</t>
  </si>
  <si>
    <t xml:space="preserve">ATI</t>
  </si>
  <si>
    <t xml:space="preserve">AVGO</t>
  </si>
  <si>
    <t xml:space="preserve">AXTI</t>
  </si>
  <si>
    <t xml:space="preserve">BE</t>
  </si>
  <si>
    <t xml:space="preserve">BESI</t>
  </si>
  <si>
    <t xml:space="preserve">BHP</t>
  </si>
  <si>
    <t xml:space="preserve">BKNG</t>
  </si>
  <si>
    <t xml:space="preserve">BSX</t>
  </si>
  <si>
    <t xml:space="preserve">BWA</t>
  </si>
  <si>
    <t xml:space="preserve">BWXT</t>
  </si>
  <si>
    <t xml:space="preserve">CAH</t>
  </si>
  <si>
    <t xml:space="preserve">CAMT</t>
  </si>
  <si>
    <t xml:space="preserve">CAT</t>
  </si>
  <si>
    <t xml:space="preserve">CDNS</t>
  </si>
  <si>
    <t xml:space="preserve">CELH</t>
  </si>
  <si>
    <t xml:space="preserve">CHEF</t>
  </si>
  <si>
    <t xml:space="preserve">CIEN</t>
  </si>
  <si>
    <t xml:space="preserve">CLS</t>
  </si>
  <si>
    <t xml:space="preserve">CMG</t>
  </si>
  <si>
    <t xml:space="preserve">CMI</t>
  </si>
  <si>
    <t xml:space="preserve">COF</t>
  </si>
  <si>
    <t xml:space="preserve">COHR</t>
  </si>
  <si>
    <t xml:space="preserve">COR</t>
  </si>
  <si>
    <t xml:space="preserve">COST</t>
  </si>
  <si>
    <t xml:space="preserve">CRDO</t>
  </si>
  <si>
    <t xml:space="preserve">CRM</t>
  </si>
  <si>
    <t xml:space="preserve">CRS</t>
  </si>
  <si>
    <t xml:space="preserve">CRWD</t>
  </si>
  <si>
    <t xml:space="preserve">CRWV</t>
  </si>
  <si>
    <t xml:space="preserve">CSCO</t>
  </si>
  <si>
    <t xml:space="preserve">CVS</t>
  </si>
  <si>
    <t xml:space="preserve">DASH</t>
  </si>
  <si>
    <t xml:space="preserve">DDOG</t>
  </si>
  <si>
    <t xml:space="preserve">DE</t>
  </si>
  <si>
    <t xml:space="preserve">DECK</t>
  </si>
  <si>
    <t xml:space="preserve">DELL</t>
  </si>
  <si>
    <t xml:space="preserve">DIS</t>
  </si>
  <si>
    <t xml:space="preserve">EAT</t>
  </si>
  <si>
    <t xml:space="preserve">EBAY</t>
  </si>
  <si>
    <t xml:space="preserve">EHC</t>
  </si>
  <si>
    <t xml:space="preserve">EME</t>
  </si>
  <si>
    <t xml:space="preserve">ESLT</t>
  </si>
  <si>
    <t xml:space="preserve">ETN</t>
  </si>
  <si>
    <t xml:space="preserve">F</t>
  </si>
  <si>
    <t xml:space="preserve">FICO</t>
  </si>
  <si>
    <t xml:space="preserve">FIX</t>
  </si>
  <si>
    <t xml:space="preserve">FLEX</t>
  </si>
  <si>
    <t xml:space="preserve">FN</t>
  </si>
  <si>
    <t xml:space="preserve">FORM</t>
  </si>
  <si>
    <t xml:space="preserve">FTNT</t>
  </si>
  <si>
    <t xml:space="preserve">GE</t>
  </si>
  <si>
    <t xml:space="preserve">GEV</t>
  </si>
  <si>
    <t xml:space="preserve">GFS</t>
  </si>
  <si>
    <t xml:space="preserve">GHM</t>
  </si>
  <si>
    <t xml:space="preserve">GILD</t>
  </si>
  <si>
    <t xml:space="preserve">GLW</t>
  </si>
  <si>
    <t xml:space="preserve">GM</t>
  </si>
  <si>
    <t xml:space="preserve">GOOGL</t>
  </si>
  <si>
    <t xml:space="preserve">GRAB</t>
  </si>
  <si>
    <t xml:space="preserve">GRMN</t>
  </si>
  <si>
    <t xml:space="preserve">GS</t>
  </si>
  <si>
    <t xml:space="preserve">H</t>
  </si>
  <si>
    <t xml:space="preserve">HD</t>
  </si>
  <si>
    <t xml:space="preserve">HLT</t>
  </si>
  <si>
    <t xml:space="preserve">HON</t>
  </si>
  <si>
    <t xml:space="preserve">HOOD</t>
  </si>
  <si>
    <t xml:space="preserve">HPE</t>
  </si>
  <si>
    <t xml:space="preserve">HUBB</t>
  </si>
  <si>
    <t xml:space="preserve">HUBS</t>
  </si>
  <si>
    <t xml:space="preserve">HWM</t>
  </si>
  <si>
    <t xml:space="preserve">IBM</t>
  </si>
  <si>
    <t xml:space="preserve">INTC</t>
  </si>
  <si>
    <t xml:space="preserve">ISRG</t>
  </si>
  <si>
    <t xml:space="preserve">J</t>
  </si>
  <si>
    <t xml:space="preserve">JBL</t>
  </si>
  <si>
    <t xml:space="preserve">JCI</t>
  </si>
  <si>
    <t xml:space="preserve">JNJ</t>
  </si>
  <si>
    <t xml:space="preserve">KEYS</t>
  </si>
  <si>
    <t xml:space="preserve">KLAC</t>
  </si>
  <si>
    <t xml:space="preserve">LEA</t>
  </si>
  <si>
    <t xml:space="preserve">LEU</t>
  </si>
  <si>
    <t xml:space="preserve">LEVI</t>
  </si>
  <si>
    <t xml:space="preserve">LITE</t>
  </si>
  <si>
    <t xml:space="preserve">LLY</t>
  </si>
  <si>
    <t xml:space="preserve">LOW</t>
  </si>
  <si>
    <t xml:space="preserve">LRCX</t>
  </si>
  <si>
    <t xml:space="preserve">LULU</t>
  </si>
  <si>
    <t xml:space="preserve">LYV</t>
  </si>
  <si>
    <t xml:space="preserve">MA</t>
  </si>
  <si>
    <t xml:space="preserve">MAR</t>
  </si>
  <si>
    <t xml:space="preserve">MC</t>
  </si>
  <si>
    <t xml:space="preserve">MCK</t>
  </si>
  <si>
    <t xml:space="preserve">MDB</t>
  </si>
  <si>
    <t xml:space="preserve">MDT</t>
  </si>
  <si>
    <t xml:space="preserve">MELI</t>
  </si>
  <si>
    <t xml:space="preserve">META</t>
  </si>
  <si>
    <t xml:space="preserve">MGA</t>
  </si>
  <si>
    <t xml:space="preserve">MNST</t>
  </si>
  <si>
    <t xml:space="preserve">MOD</t>
  </si>
  <si>
    <t xml:space="preserve">MP</t>
  </si>
  <si>
    <t xml:space="preserve">MPWR</t>
  </si>
  <si>
    <t xml:space="preserve">MRK</t>
  </si>
  <si>
    <t xml:space="preserve">MRVL</t>
  </si>
  <si>
    <t xml:space="preserve">MS</t>
  </si>
  <si>
    <t xml:space="preserve">MSFT</t>
  </si>
  <si>
    <t xml:space="preserve">MTSI</t>
  </si>
  <si>
    <t xml:space="preserve">MU</t>
  </si>
  <si>
    <t xml:space="preserve">NBIS</t>
  </si>
  <si>
    <t xml:space="preserve">NET</t>
  </si>
  <si>
    <t xml:space="preserve">NFLX</t>
  </si>
  <si>
    <t xml:space="preserve">NKE</t>
  </si>
  <si>
    <t xml:space="preserve">NOW</t>
  </si>
  <si>
    <t xml:space="preserve">NTAP</t>
  </si>
  <si>
    <t xml:space="preserve">NU</t>
  </si>
  <si>
    <t xml:space="preserve">NUE</t>
  </si>
  <si>
    <t xml:space="preserve">NVDA</t>
  </si>
  <si>
    <t xml:space="preserve">NVMI</t>
  </si>
  <si>
    <t xml:space="preserve">NVT</t>
  </si>
  <si>
    <t xml:space="preserve">NVTS</t>
  </si>
  <si>
    <t xml:space="preserve">NXPI</t>
  </si>
  <si>
    <t xml:space="preserve">ON</t>
  </si>
  <si>
    <t xml:space="preserve">ONON</t>
  </si>
  <si>
    <t xml:space="preserve">ONTO</t>
  </si>
  <si>
    <t xml:space="preserve">ORCL</t>
  </si>
  <si>
    <t xml:space="preserve">OSCR</t>
  </si>
  <si>
    <t xml:space="preserve">PANW</t>
  </si>
  <si>
    <t xml:space="preserve">PH</t>
  </si>
  <si>
    <t xml:space="preserve">PLTR</t>
  </si>
  <si>
    <t xml:space="preserve">PLXS</t>
  </si>
  <si>
    <t xml:space="preserve">PWR</t>
  </si>
  <si>
    <t xml:space="preserve">PYPL</t>
  </si>
  <si>
    <t xml:space="preserve">QCOM</t>
  </si>
  <si>
    <t xml:space="preserve">RACE</t>
  </si>
  <si>
    <t xml:space="preserve">RCL</t>
  </si>
  <si>
    <t xml:space="preserve">RIO</t>
  </si>
  <si>
    <t xml:space="preserve">RKLB</t>
  </si>
  <si>
    <t xml:space="preserve">RL</t>
  </si>
  <si>
    <t xml:space="preserve">RMBS</t>
  </si>
  <si>
    <t xml:space="preserve">RMS</t>
  </si>
  <si>
    <t xml:space="preserve">ROK</t>
  </si>
  <si>
    <t xml:space="preserve">ROST</t>
  </si>
  <si>
    <t xml:space="preserve">SANM</t>
  </si>
  <si>
    <t xml:space="preserve">SBUX</t>
  </si>
  <si>
    <t xml:space="preserve">SE</t>
  </si>
  <si>
    <t xml:space="preserve">SEZL</t>
  </si>
  <si>
    <t xml:space="preserve">SIMO</t>
  </si>
  <si>
    <t xml:space="preserve">SNDK</t>
  </si>
  <si>
    <t xml:space="preserve">SNOW</t>
  </si>
  <si>
    <t xml:space="preserve">SOFI</t>
  </si>
  <si>
    <t xml:space="preserve">SPOT</t>
  </si>
  <si>
    <t xml:space="preserve">STM</t>
  </si>
  <si>
    <t xml:space="preserve">STRL</t>
  </si>
  <si>
    <t xml:space="preserve">STX</t>
  </si>
  <si>
    <t xml:space="preserve">SU</t>
  </si>
  <si>
    <t xml:space="preserve">TDY</t>
  </si>
  <si>
    <t xml:space="preserve">TEL</t>
  </si>
  <si>
    <t xml:space="preserve">TER</t>
  </si>
  <si>
    <t xml:space="preserve">TJX</t>
  </si>
  <si>
    <t xml:space="preserve">TMDX</t>
  </si>
  <si>
    <t xml:space="preserve">TPC</t>
  </si>
  <si>
    <t xml:space="preserve">TPR</t>
  </si>
  <si>
    <t xml:space="preserve">TSLA</t>
  </si>
  <si>
    <t xml:space="preserve">TSM</t>
  </si>
  <si>
    <t xml:space="preserve">TT</t>
  </si>
  <si>
    <t xml:space="preserve">TTMI</t>
  </si>
  <si>
    <t xml:space="preserve">TWLO</t>
  </si>
  <si>
    <t xml:space="preserve">TXN</t>
  </si>
  <si>
    <t xml:space="preserve">UBER</t>
  </si>
  <si>
    <t xml:space="preserve">UNH</t>
  </si>
  <si>
    <t xml:space="preserve">URBN</t>
  </si>
  <si>
    <t xml:space="preserve">V</t>
  </si>
  <si>
    <t xml:space="preserve">VALE</t>
  </si>
  <si>
    <t xml:space="preserve">VIK</t>
  </si>
  <si>
    <t xml:space="preserve">VRT</t>
  </si>
  <si>
    <t xml:space="preserve">WDAY</t>
  </si>
  <si>
    <t xml:space="preserve">WDC</t>
  </si>
  <si>
    <t xml:space="preserve">WLDN</t>
  </si>
  <si>
    <t xml:space="preserve">WMT</t>
  </si>
  <si>
    <t xml:space="preserve">Source</t>
  </si>
  <si>
    <t xml:space="preserve">Koyfin watchlist – InvestMQuest DD universe</t>
  </si>
  <si>
    <t xml:space="preserve">Snapshot date</t>
  </si>
  <si>
    <t xml:space="preserve">2026-05-26 (incremental add to 2026-05-25 snapshot)</t>
  </si>
  <si>
    <t xml:space="preserve">Total tickers</t>
  </si>
  <si>
    <t xml:space="preserve">206</t>
  </si>
  <si>
    <t xml:space="preserve">Data fields</t>
  </si>
  <si>
    <t xml:space="preserve">Normalized - Est Avg (consensus mean of analyst estimates)</t>
  </si>
  <si>
    <t xml:space="preserve">FY1E / FY2E / FY3E</t>
  </si>
  <si>
    <t xml:space="preserve">Current / next / two-years-out fiscal year estimates</t>
  </si>
  <si>
    <t xml:space="preserve">Currency</t>
  </si>
  <si>
    <t xml:space="preserve">Reporting currency per company. Taiwan tickers (2308/2330 etc.) are USD-translated by Koyfin. JPY tickers (6146/6857) had no data.</t>
  </si>
  <si>
    <t xml:space="preserve">New tickers vs 2026-05-20</t>
  </si>
  <si>
    <t xml:space="preserve">ABNB, ALV, AMKR, ARW, AXTI, BWA, CRWV, DE, F, GHM, GM, GRMN, GS, HLT, HOOD, HUBS, LEA, LEVI, MDB, MGA, MS, MTSI, NBIS, NVT, NVTS, PLXS, ROST, SANM, SNOW, TEL, TJX, TWLO, URBN, WDAY, WLDN</t>
  </si>
  <si>
    <t xml:space="preserve">Updated EPS vs 2026-05-20</t>
  </si>
  <si>
    <t xml:space="preserve">TSM/2330 3.09→3.11, NVDA 8.38→8.94, MSFT 16.85→16.81, META 32.21→32.32, RL 16.33→18.39, plus several others — this is a fresh full snapshot, not a diff</t>
  </si>
  <si>
    <t xml:space="preserve">TSM vs 2330</t>
  </si>
  <si>
    <t xml:space="preserve">Same company (TSMC ADR vs TWSE local). Both = 3.11 / 3.90 / 4.90. Filter one to dedupe.</t>
  </si>
  <si>
    <t xml:space="preserve">Missing FY3E (or all)</t>
  </si>
  <si>
    <t xml:space="preserve">6146.JP, 6857.JP (no data); SEZL FY3E missing; WLDN FY3E missing; LYV FY1E negative (CAGR shown blank)</t>
  </si>
  <si>
    <t xml:space="preserve">Edge cases worth noting</t>
  </si>
  <si>
    <t xml:space="preserve">MU: FY3 &lt; FY2 (cycle peak FY28). NBIS: FY1 negative → CAGR blank. CRWV: FY1/FY2 negative → CAGR blank. NVTS: all FY negative.</t>
  </si>
  <si>
    <t xml:space="preserve">Growth formulas</t>
  </si>
  <si>
    <t xml:space="preserve">FY1→FY2 = (FY2-FY1)/|FY1|; FY1→FY3 CAGR = (FY3/FY1)^0.5 - 1 (valid only when both positive)</t>
  </si>
  <si>
    <t xml:space="preserve">2026-05-26 additions</t>
  </si>
  <si>
    <t xml:space="preserve">24 new tickers added: ABB, ABBV, BHP, CAH, COF, COR, EHC, ESLT, GILD, J, LEU, MCK, MP, MRK, NUE, RACE, RIO, RKLB, SOFI, SU, TMDX, TPC, UNH, VALE. ABB had no data. ESLT FY3E missing. GILD/RKLB FY1E negative (CAGR shown blank).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</si>
</sst>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;\(0.0%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5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ED8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2DF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E5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6"/>
    <col collapsed="false" customWidth="true" hidden="false" outlineLevel="0" max="7" min="5" style="1" width="18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4" t="n">
        <v>1.32</v>
      </c>
      <c r="C2" s="4" t="n">
        <v>2.05</v>
      </c>
      <c r="D2" s="4" t="n">
        <v>3.04</v>
      </c>
      <c r="E2" s="5" t="n">
        <f aca="false">IFERROR(IF(OR(B2=0,B2="",C2=""),"",(C2-B2)/ABS(B2)),"")</f>
        <v>0.553030303030303</v>
      </c>
      <c r="F2" s="5" t="n">
        <f aca="false">IFERROR(IF(OR(C2=0,C2="",D2=""),"",(D2-C2)/ABS(C2)),"")</f>
        <v>0.482926829268293</v>
      </c>
      <c r="G2" s="5" t="n">
        <f aca="false">IFERROR(IF(OR(B2&lt;=0,D2&lt;=0,B2="",D2=""),"",(D2/B2)^(1/2)-1),"")</f>
        <v>0.517573821278656</v>
      </c>
    </row>
    <row r="3" customFormat="false" ht="15" hidden="false" customHeight="true" outlineLevel="0" collapsed="false">
      <c r="A3" s="3" t="s">
        <v>8</v>
      </c>
      <c r="B3" s="4" t="n">
        <v>3.11</v>
      </c>
      <c r="C3" s="4" t="n">
        <v>3.9</v>
      </c>
      <c r="D3" s="4" t="n">
        <v>4.9</v>
      </c>
      <c r="E3" s="5" t="n">
        <f aca="false">IFERROR(IF(OR(B3=0,B3="",C3=""),"",(C3-B3)/ABS(B3)),"")</f>
        <v>0.254019292604502</v>
      </c>
      <c r="F3" s="5" t="n">
        <f aca="false">IFERROR(IF(OR(C3=0,C3="",D3=""),"",(D3-C3)/ABS(C3)),"")</f>
        <v>0.256410256410257</v>
      </c>
      <c r="G3" s="5" t="n">
        <f aca="false">IFERROR(IF(OR(B3&lt;=0,D3&lt;=0,B3="",D3=""),"",(D3/B3)^(1/2)-1),"")</f>
        <v>0.255214205211457</v>
      </c>
    </row>
    <row r="4" customFormat="false" ht="15" hidden="false" customHeight="true" outlineLevel="0" collapsed="false">
      <c r="A4" s="3" t="s">
        <v>9</v>
      </c>
      <c r="B4" s="4" t="n">
        <v>2.82</v>
      </c>
      <c r="C4" s="4" t="n">
        <v>4.87</v>
      </c>
      <c r="D4" s="4" t="n">
        <v>7.96</v>
      </c>
      <c r="E4" s="5" t="n">
        <f aca="false">IFERROR(IF(OR(B4=0,B4="",C4=""),"",(C4-B4)/ABS(B4)),"")</f>
        <v>0.726950354609929</v>
      </c>
      <c r="F4" s="5" t="n">
        <f aca="false">IFERROR(IF(OR(C4=0,C4="",D4=""),"",(D4-C4)/ABS(C4)),"")</f>
        <v>0.634496919917864</v>
      </c>
      <c r="G4" s="5" t="n">
        <f aca="false">IFERROR(IF(OR(B4&lt;=0,D4&lt;=0,B4="",D4=""),"",(D4/B4)^(1/2)-1),"")</f>
        <v>0.68008780587831</v>
      </c>
    </row>
    <row r="5" customFormat="false" ht="15" hidden="false" customHeight="true" outlineLevel="0" collapsed="false">
      <c r="A5" s="3" t="s">
        <v>10</v>
      </c>
      <c r="B5" s="4" t="n">
        <v>2.11</v>
      </c>
      <c r="C5" s="4" t="n">
        <v>3.75</v>
      </c>
      <c r="D5" s="4" t="n">
        <v>5.67</v>
      </c>
      <c r="E5" s="5" t="n">
        <f aca="false">IFERROR(IF(OR(B5=0,B5="",C5=""),"",(C5-B5)/ABS(B5)),"")</f>
        <v>0.777251184834123</v>
      </c>
      <c r="F5" s="5" t="n">
        <f aca="false">IFERROR(IF(OR(C5=0,C5="",D5=""),"",(D5-C5)/ABS(C5)),"")</f>
        <v>0.512</v>
      </c>
      <c r="G5" s="5" t="n">
        <f aca="false">IFERROR(IF(OR(B5&lt;=0,D5&lt;=0,B5="",D5=""),"",(D5/B5)^(1/2)-1),"")</f>
        <v>0.639269285831097</v>
      </c>
    </row>
    <row r="6" customFormat="false" ht="15" hidden="false" customHeight="true" outlineLevel="0" collapsed="false">
      <c r="A6" s="3" t="s">
        <v>11</v>
      </c>
      <c r="B6" s="4" t="n">
        <v>2.97</v>
      </c>
      <c r="C6" s="4" t="n">
        <v>4.3</v>
      </c>
      <c r="D6" s="4" t="n">
        <v>5.1</v>
      </c>
      <c r="E6" s="5" t="n">
        <f aca="false">IFERROR(IF(OR(B6=0,B6="",C6=""),"",(C6-B6)/ABS(B6)),"")</f>
        <v>0.447811447811448</v>
      </c>
      <c r="F6" s="5" t="n">
        <f aca="false">IFERROR(IF(OR(C6=0,C6="",D6=""),"",(D6-C6)/ABS(C6)),"")</f>
        <v>0.186046511627907</v>
      </c>
      <c r="G6" s="5" t="n">
        <f aca="false">IFERROR(IF(OR(B6&lt;=0,D6&lt;=0,B6="",D6=""),"",(D6/B6)^(1/2)-1),"")</f>
        <v>0.310408988511494</v>
      </c>
    </row>
    <row r="7" customFormat="false" ht="15" hidden="false" customHeight="true" outlineLevel="0" collapsed="false">
      <c r="A7" s="3" t="s">
        <v>12</v>
      </c>
      <c r="B7" s="4" t="n">
        <v>0.46</v>
      </c>
      <c r="C7" s="4" t="n">
        <v>0.93</v>
      </c>
      <c r="D7" s="4" t="n">
        <v>1.46</v>
      </c>
      <c r="E7" s="5" t="n">
        <f aca="false">IFERROR(IF(OR(B7=0,B7="",C7=""),"",(C7-B7)/ABS(B7)),"")</f>
        <v>1.02173913043478</v>
      </c>
      <c r="F7" s="5" t="n">
        <f aca="false">IFERROR(IF(OR(C7=0,C7="",D7=""),"",(D7-C7)/ABS(C7)),"")</f>
        <v>0.569892473118279</v>
      </c>
      <c r="G7" s="5" t="n">
        <f aca="false">IFERROR(IF(OR(B7&lt;=0,D7&lt;=0,B7="",D7=""),"",(D7/B7)^(1/2)-1),"")</f>
        <v>0.781547934656337</v>
      </c>
    </row>
    <row r="8" customFormat="false" ht="15" hidden="false" customHeight="true" outlineLevel="0" collapsed="false">
      <c r="A8" s="3" t="s">
        <v>13</v>
      </c>
      <c r="B8" s="4" t="n">
        <v>1.48</v>
      </c>
      <c r="C8" s="4" t="n">
        <v>2.82</v>
      </c>
      <c r="D8" s="4" t="n">
        <v>3.9</v>
      </c>
      <c r="E8" s="5" t="n">
        <f aca="false">IFERROR(IF(OR(B8=0,B8="",C8=""),"",(C8-B8)/ABS(B8)),"")</f>
        <v>0.905405405405405</v>
      </c>
      <c r="F8" s="5" t="n">
        <f aca="false">IFERROR(IF(OR(C8=0,C8="",D8=""),"",(D8-C8)/ABS(C8)),"")</f>
        <v>0.382978723404255</v>
      </c>
      <c r="G8" s="5" t="n">
        <f aca="false">IFERROR(IF(OR(B8&lt;=0,D8&lt;=0,B8="",D8=""),"",(D8/B8)^(1/2)-1),"")</f>
        <v>0.623309931940027</v>
      </c>
    </row>
    <row r="9" customFormat="false" ht="15" hidden="false" customHeight="true" outlineLevel="0" collapsed="false">
      <c r="A9" s="3" t="s">
        <v>14</v>
      </c>
      <c r="B9" s="4" t="n">
        <v>4.29</v>
      </c>
      <c r="C9" s="4" t="n">
        <v>5.65</v>
      </c>
      <c r="D9" s="4" t="n">
        <v>7.55</v>
      </c>
      <c r="E9" s="5" t="n">
        <f aca="false">IFERROR(IF(OR(B9=0,B9="",C9=""),"",(C9-B9)/ABS(B9)),"")</f>
        <v>0.317016317016317</v>
      </c>
      <c r="F9" s="5" t="n">
        <f aca="false">IFERROR(IF(OR(C9=0,C9="",D9=""),"",(D9-C9)/ABS(C9)),"")</f>
        <v>0.336283185840708</v>
      </c>
      <c r="G9" s="5" t="n">
        <f aca="false">IFERROR(IF(OR(B9&lt;=0,D9&lt;=0,B9="",D9=""),"",(D9/B9)^(1/2)-1),"")</f>
        <v>0.326614774494374</v>
      </c>
    </row>
    <row r="10" customFormat="false" ht="15" hidden="false" customHeight="true" outlineLevel="0" collapsed="false">
      <c r="A10" s="3" t="s">
        <v>15</v>
      </c>
      <c r="B10" s="4"/>
      <c r="C10" s="4"/>
      <c r="D10" s="4"/>
      <c r="E10" s="5" t="str">
        <f aca="false">IFERROR(IF(OR(B10=0,B10="",C10=""),"",(C10-B10)/ABS(B10)),"")</f>
        <v/>
      </c>
      <c r="F10" s="5" t="str">
        <f aca="false">IFERROR(IF(OR(C10=0,C10="",D10=""),"",(D10-C10)/ABS(C10)),"")</f>
        <v/>
      </c>
      <c r="G10" s="5" t="str">
        <f aca="false">IFERROR(IF(OR(B10&lt;=0,D10&lt;=0,B10="",D10=""),"",(D10/B10)^(1/2)-1),"")</f>
        <v/>
      </c>
    </row>
    <row r="11" customFormat="false" ht="15" hidden="false" customHeight="true" outlineLevel="0" collapsed="false">
      <c r="A11" s="3" t="s">
        <v>16</v>
      </c>
      <c r="B11" s="4"/>
      <c r="C11" s="4"/>
      <c r="D11" s="4"/>
      <c r="E11" s="5" t="str">
        <f aca="false">IFERROR(IF(OR(B11=0,B11="",C11=""),"",(C11-B11)/ABS(B11)),"")</f>
        <v/>
      </c>
      <c r="F11" s="5" t="str">
        <f aca="false">IFERROR(IF(OR(C11=0,C11="",D11=""),"",(D11-C11)/ABS(C11)),"")</f>
        <v/>
      </c>
      <c r="G11" s="5" t="str">
        <f aca="false">IFERROR(IF(OR(B11&lt;=0,D11&lt;=0,B11="",D11=""),"",(D11/B11)^(1/2)-1),"")</f>
        <v/>
      </c>
    </row>
    <row r="12" customFormat="false" ht="15" hidden="false" customHeight="true" outlineLevel="0" collapsed="false">
      <c r="A12" s="3" t="s">
        <v>17</v>
      </c>
      <c r="B12" s="4" t="n">
        <v>8.75</v>
      </c>
      <c r="C12" s="4" t="n">
        <v>9.6</v>
      </c>
      <c r="D12" s="4" t="n">
        <v>10.71</v>
      </c>
      <c r="E12" s="5" t="n">
        <f aca="false">IFERROR(IF(OR(B12=0,B12="",C12=""),"",(C12-B12)/ABS(B12)),"")</f>
        <v>0.0971428571428571</v>
      </c>
      <c r="F12" s="5" t="n">
        <f aca="false">IFERROR(IF(OR(C12=0,C12="",D12=""),"",(D12-C12)/ABS(C12)),"")</f>
        <v>0.115625</v>
      </c>
      <c r="G12" s="5" t="n">
        <f aca="false">IFERROR(IF(OR(B12&lt;=0,D12&lt;=0,B12="",D12=""),"",(D12/B12)^(1/2)-1),"")</f>
        <v>0.106345334875147</v>
      </c>
    </row>
    <row r="13" customFormat="false" ht="15" hidden="false" customHeight="true" outlineLevel="0" collapsed="false">
      <c r="A13" s="3" t="s">
        <v>18</v>
      </c>
      <c r="B13" s="4"/>
      <c r="C13" s="4"/>
      <c r="D13" s="4"/>
      <c r="E13" s="5" t="str">
        <f aca="false">IFERROR(IF(OR(B13=0,B13="",C13=""),"",(C13-B13)/ABS(B13)),"")</f>
        <v/>
      </c>
      <c r="F13" s="5" t="str">
        <f aca="false">IFERROR(IF(OR(C13=0,C13="",D13=""),"",(D13-C13)/ABS(C13)),"")</f>
        <v/>
      </c>
      <c r="G13" s="5" t="str">
        <f aca="false">IFERROR(IF(OR(B13&lt;=0,D13&lt;=0,B13="",D13=""),"",(D13/B13)^(1/2)-1),"")</f>
        <v/>
      </c>
    </row>
    <row r="14" customFormat="false" ht="15" hidden="false" customHeight="true" outlineLevel="0" collapsed="false">
      <c r="A14" s="3" t="s">
        <v>19</v>
      </c>
      <c r="B14" s="4" t="n">
        <v>14.24</v>
      </c>
      <c r="C14" s="4" t="n">
        <v>16.23</v>
      </c>
      <c r="D14" s="4" t="n">
        <v>17.85</v>
      </c>
      <c r="E14" s="5" t="n">
        <f aca="false">IFERROR(IF(OR(B14=0,B14="",C14=""),"",(C14-B14)/ABS(B14)),"")</f>
        <v>0.139747191011236</v>
      </c>
      <c r="F14" s="5" t="n">
        <f aca="false">IFERROR(IF(OR(C14=0,C14="",D14=""),"",(D14-C14)/ABS(C14)),"")</f>
        <v>0.0998151571164511</v>
      </c>
      <c r="G14" s="5" t="n">
        <f aca="false">IFERROR(IF(OR(B14&lt;=0,D14&lt;=0,B14="",D14=""),"",(D14/B14)^(1/2)-1),"")</f>
        <v>0.119603160032632</v>
      </c>
    </row>
    <row r="15" customFormat="false" ht="15" hidden="false" customHeight="true" outlineLevel="0" collapsed="false">
      <c r="A15" s="3" t="s">
        <v>20</v>
      </c>
      <c r="B15" s="4" t="n">
        <v>5.05</v>
      </c>
      <c r="C15" s="4" t="n">
        <v>6.04</v>
      </c>
      <c r="D15" s="4" t="n">
        <v>7.24</v>
      </c>
      <c r="E15" s="5" t="n">
        <f aca="false">IFERROR(IF(OR(B15=0,B15="",C15=""),"",(C15-B15)/ABS(B15)),"")</f>
        <v>0.196039603960396</v>
      </c>
      <c r="F15" s="5" t="n">
        <f aca="false">IFERROR(IF(OR(C15=0,C15="",D15=""),"",(D15-C15)/ABS(C15)),"")</f>
        <v>0.198675496688742</v>
      </c>
      <c r="G15" s="5" t="n">
        <f aca="false">IFERROR(IF(OR(B15&lt;=0,D15&lt;=0,B15="",D15=""),"",(D15/B15)^(1/2)-1),"")</f>
        <v>0.197356824984363</v>
      </c>
    </row>
    <row r="16" customFormat="false" ht="15" hidden="false" customHeight="true" outlineLevel="0" collapsed="false">
      <c r="A16" s="3" t="s">
        <v>21</v>
      </c>
      <c r="B16" s="4" t="n">
        <v>12.34</v>
      </c>
      <c r="C16" s="4" t="n">
        <v>14.73</v>
      </c>
      <c r="D16" s="4" t="n">
        <v>16.93</v>
      </c>
      <c r="E16" s="5" t="n">
        <f aca="false">IFERROR(IF(OR(B16=0,B16="",C16=""),"",(C16-B16)/ABS(B16)),"")</f>
        <v>0.193679092382496</v>
      </c>
      <c r="F16" s="5" t="n">
        <f aca="false">IFERROR(IF(OR(C16=0,C16="",D16=""),"",(D16-C16)/ABS(C16)),"")</f>
        <v>0.149355057705363</v>
      </c>
      <c r="G16" s="5" t="n">
        <f aca="false">IFERROR(IF(OR(B16&lt;=0,D16&lt;=0,B16="",D16=""),"",(D16/B16)^(1/2)-1),"")</f>
        <v>0.17130743278909</v>
      </c>
    </row>
    <row r="17" customFormat="false" ht="15" hidden="false" customHeight="true" outlineLevel="0" collapsed="false">
      <c r="A17" s="3" t="s">
        <v>22</v>
      </c>
      <c r="B17" s="4" t="n">
        <v>1.82</v>
      </c>
      <c r="C17" s="4" t="n">
        <v>1.86</v>
      </c>
      <c r="D17" s="4" t="n">
        <v>1.91</v>
      </c>
      <c r="E17" s="5" t="n">
        <f aca="false">IFERROR(IF(OR(B17=0,B17="",C17=""),"",(C17-B17)/ABS(B17)),"")</f>
        <v>0.021978021978022</v>
      </c>
      <c r="F17" s="5" t="n">
        <f aca="false">IFERROR(IF(OR(C17=0,C17="",D17=""),"",(D17-C17)/ABS(C17)),"")</f>
        <v>0.0268817204301074</v>
      </c>
      <c r="G17" s="5" t="n">
        <f aca="false">IFERROR(IF(OR(B17&lt;=0,D17&lt;=0,B17="",D17=""),"",(D17/B17)^(1/2)-1),"")</f>
        <v>0.0244269370972969</v>
      </c>
    </row>
    <row r="18" customFormat="false" ht="15" hidden="false" customHeight="true" outlineLevel="0" collapsed="false">
      <c r="A18" s="3" t="s">
        <v>23</v>
      </c>
      <c r="B18" s="4" t="n">
        <v>3</v>
      </c>
      <c r="C18" s="4" t="n">
        <v>4.21</v>
      </c>
      <c r="D18" s="4" t="n">
        <v>5.42</v>
      </c>
      <c r="E18" s="5" t="n">
        <f aca="false">IFERROR(IF(OR(B18=0,B18="",C18=""),"",(C18-B18)/ABS(B18)),"")</f>
        <v>0.403333333333333</v>
      </c>
      <c r="F18" s="5" t="n">
        <f aca="false">IFERROR(IF(OR(C18=0,C18="",D18=""),"",(D18-C18)/ABS(C18)),"")</f>
        <v>0.287410926365796</v>
      </c>
      <c r="G18" s="5" t="n">
        <f aca="false">IFERROR(IF(OR(B18&lt;=0,D18&lt;=0,B18="",D18=""),"",(D18/B18)^(1/2)-1),"")</f>
        <v>0.34412301024373</v>
      </c>
    </row>
    <row r="19" customFormat="false" ht="15" hidden="false" customHeight="true" outlineLevel="0" collapsed="false">
      <c r="A19" s="3" t="s">
        <v>24</v>
      </c>
      <c r="B19" s="4" t="n">
        <v>10.48</v>
      </c>
      <c r="C19" s="4" t="n">
        <v>11.95</v>
      </c>
      <c r="D19" s="4" t="n">
        <v>13.14</v>
      </c>
      <c r="E19" s="5" t="n">
        <f aca="false">IFERROR(IF(OR(B19=0,B19="",C19=""),"",(C19-B19)/ABS(B19)),"")</f>
        <v>0.140267175572519</v>
      </c>
      <c r="F19" s="5" t="n">
        <f aca="false">IFERROR(IF(OR(C19=0,C19="",D19=""),"",(D19-C19)/ABS(C19)),"")</f>
        <v>0.0995815899581591</v>
      </c>
      <c r="G19" s="5" t="n">
        <f aca="false">IFERROR(IF(OR(B19&lt;=0,D19&lt;=0,B19="",D19=""),"",(D19/B19)^(1/2)-1),"")</f>
        <v>0.119739609861654</v>
      </c>
    </row>
    <row r="20" customFormat="false" ht="15" hidden="false" customHeight="true" outlineLevel="0" collapsed="false">
      <c r="A20" s="3" t="s">
        <v>25</v>
      </c>
      <c r="B20" s="4" t="n">
        <v>12.26</v>
      </c>
      <c r="C20" s="4" t="n">
        <v>16.13</v>
      </c>
      <c r="D20" s="4" t="n">
        <v>19.31</v>
      </c>
      <c r="E20" s="5" t="n">
        <f aca="false">IFERROR(IF(OR(B20=0,B20="",C20=""),"",(C20-B20)/ABS(B20)),"")</f>
        <v>0.315660685154976</v>
      </c>
      <c r="F20" s="5" t="n">
        <f aca="false">IFERROR(IF(OR(C20=0,C20="",D20=""),"",(D20-C20)/ABS(C20)),"")</f>
        <v>0.197148171109733</v>
      </c>
      <c r="G20" s="5" t="n">
        <f aca="false">IFERROR(IF(OR(B20&lt;=0,D20&lt;=0,B20="",D20=""),"",(D20/B20)^(1/2)-1),"")</f>
        <v>0.255006288045704</v>
      </c>
    </row>
    <row r="21" customFormat="false" ht="15" hidden="false" customHeight="true" outlineLevel="0" collapsed="false">
      <c r="A21" s="3" t="s">
        <v>26</v>
      </c>
      <c r="B21" s="4" t="n">
        <v>7.37</v>
      </c>
      <c r="C21" s="4" t="n">
        <v>12.96</v>
      </c>
      <c r="D21" s="4" t="n">
        <v>18.01</v>
      </c>
      <c r="E21" s="5" t="n">
        <f aca="false">IFERROR(IF(OR(B21=0,B21="",C21=""),"",(C21-B21)/ABS(B21)),"")</f>
        <v>0.758480325644505</v>
      </c>
      <c r="F21" s="5" t="n">
        <f aca="false">IFERROR(IF(OR(C21=0,C21="",D21=""),"",(D21-C21)/ABS(C21)),"")</f>
        <v>0.389660493827161</v>
      </c>
      <c r="G21" s="5" t="n">
        <f aca="false">IFERROR(IF(OR(B21&lt;=0,D21&lt;=0,B21="",D21=""),"",(D21/B21)^(1/2)-1),"")</f>
        <v>0.563230833153085</v>
      </c>
    </row>
    <row r="22" customFormat="false" ht="15" hidden="false" customHeight="true" outlineLevel="0" collapsed="false">
      <c r="A22" s="3" t="s">
        <v>27</v>
      </c>
      <c r="B22" s="4" t="n">
        <v>2.08</v>
      </c>
      <c r="C22" s="4" t="n">
        <v>2.45</v>
      </c>
      <c r="D22" s="4" t="n">
        <v>2.89</v>
      </c>
      <c r="E22" s="5" t="n">
        <f aca="false">IFERROR(IF(OR(B22=0,B22="",C22=""),"",(C22-B22)/ABS(B22)),"")</f>
        <v>0.177884615384615</v>
      </c>
      <c r="F22" s="5" t="n">
        <f aca="false">IFERROR(IF(OR(C22=0,C22="",D22=""),"",(D22-C22)/ABS(C22)),"")</f>
        <v>0.179591836734694</v>
      </c>
      <c r="G22" s="5" t="n">
        <f aca="false">IFERROR(IF(OR(B22&lt;=0,D22&lt;=0,B22="",D22=""),"",(D22/B22)^(1/2)-1),"")</f>
        <v>0.178737916978612</v>
      </c>
    </row>
    <row r="23" customFormat="false" ht="15" hidden="false" customHeight="true" outlineLevel="0" collapsed="false">
      <c r="A23" s="3" t="s">
        <v>28</v>
      </c>
      <c r="B23" s="4" t="n">
        <v>8.67</v>
      </c>
      <c r="C23" s="4" t="n">
        <v>9.86</v>
      </c>
      <c r="D23" s="4" t="n">
        <v>12.55</v>
      </c>
      <c r="E23" s="5" t="n">
        <f aca="false">IFERROR(IF(OR(B23=0,B23="",C23=""),"",(C23-B23)/ABS(B23)),"")</f>
        <v>0.137254901960784</v>
      </c>
      <c r="F23" s="5" t="n">
        <f aca="false">IFERROR(IF(OR(C23=0,C23="",D23=""),"",(D23-C23)/ABS(C23)),"")</f>
        <v>0.272819472616633</v>
      </c>
      <c r="G23" s="5" t="n">
        <f aca="false">IFERROR(IF(OR(B23&lt;=0,D23&lt;=0,B23="",D23=""),"",(D23/B23)^(1/2)-1),"")</f>
        <v>0.203129329932741</v>
      </c>
    </row>
    <row r="24" customFormat="false" ht="15" hidden="false" customHeight="true" outlineLevel="0" collapsed="false">
      <c r="A24" s="3" t="s">
        <v>29</v>
      </c>
      <c r="B24" s="4" t="n">
        <v>3.63</v>
      </c>
      <c r="C24" s="4" t="n">
        <v>4.45</v>
      </c>
      <c r="D24" s="4" t="n">
        <v>5.43</v>
      </c>
      <c r="E24" s="5" t="n">
        <f aca="false">IFERROR(IF(OR(B24=0,B24="",C24=""),"",(C24-B24)/ABS(B24)),"")</f>
        <v>0.225895316804408</v>
      </c>
      <c r="F24" s="5" t="n">
        <f aca="false">IFERROR(IF(OR(C24=0,C24="",D24=""),"",(D24-C24)/ABS(C24)),"")</f>
        <v>0.220224719101123</v>
      </c>
      <c r="G24" s="5" t="n">
        <f aca="false">IFERROR(IF(OR(B24&lt;=0,D24&lt;=0,B24="",D24=""),"",(D24/B24)^(1/2)-1),"")</f>
        <v>0.223056731552155</v>
      </c>
    </row>
    <row r="25" customFormat="false" ht="15" hidden="false" customHeight="true" outlineLevel="0" collapsed="false">
      <c r="A25" s="3" t="s">
        <v>30</v>
      </c>
      <c r="B25" s="4" t="n">
        <v>4.81</v>
      </c>
      <c r="C25" s="4" t="n">
        <v>5.63</v>
      </c>
      <c r="D25" s="4" t="n">
        <v>6.24</v>
      </c>
      <c r="E25" s="5" t="n">
        <f aca="false">IFERROR(IF(OR(B25=0,B25="",C25=""),"",(C25-B25)/ABS(B25)),"")</f>
        <v>0.170478170478171</v>
      </c>
      <c r="F25" s="5" t="n">
        <f aca="false">IFERROR(IF(OR(C25=0,C25="",D25=""),"",(D25-C25)/ABS(C25)),"")</f>
        <v>0.108348134991119</v>
      </c>
      <c r="G25" s="5" t="n">
        <f aca="false">IFERROR(IF(OR(B25&lt;=0,D25&lt;=0,B25="",D25=""),"",(D25/B25)^(1/2)-1),"")</f>
        <v>0.138989594902999</v>
      </c>
    </row>
    <row r="26" customFormat="false" ht="15" hidden="false" customHeight="true" outlineLevel="0" collapsed="false">
      <c r="A26" s="3" t="s">
        <v>31</v>
      </c>
      <c r="B26" s="4" t="n">
        <v>16.67</v>
      </c>
      <c r="C26" s="4" t="n">
        <v>21.93</v>
      </c>
      <c r="D26" s="4" t="n">
        <v>27.32</v>
      </c>
      <c r="E26" s="5" t="n">
        <f aca="false">IFERROR(IF(OR(B26=0,B26="",C26=""),"",(C26-B26)/ABS(B26)),"")</f>
        <v>0.315536892621476</v>
      </c>
      <c r="F26" s="5" t="n">
        <f aca="false">IFERROR(IF(OR(C26=0,C26="",D26=""),"",(D26-C26)/ABS(C26)),"")</f>
        <v>0.24578203374373</v>
      </c>
      <c r="G26" s="5" t="n">
        <f aca="false">IFERROR(IF(OR(B26&lt;=0,D26&lt;=0,B26="",D26=""),"",(D26/B26)^(1/2)-1),"")</f>
        <v>0.280184449817638</v>
      </c>
    </row>
    <row r="27" customFormat="false" ht="15" hidden="false" customHeight="true" outlineLevel="0" collapsed="false">
      <c r="A27" s="3" t="s">
        <v>32</v>
      </c>
      <c r="B27" s="4" t="n">
        <v>2.17</v>
      </c>
      <c r="C27" s="4" t="n">
        <v>3.06</v>
      </c>
      <c r="D27" s="4" t="n">
        <v>3.95</v>
      </c>
      <c r="E27" s="5" t="n">
        <f aca="false">IFERROR(IF(OR(B27=0,B27="",C27=""),"",(C27-B27)/ABS(B27)),"")</f>
        <v>0.410138248847926</v>
      </c>
      <c r="F27" s="5" t="n">
        <f aca="false">IFERROR(IF(OR(C27=0,C27="",D27=""),"",(D27-C27)/ABS(C27)),"")</f>
        <v>0.290849673202614</v>
      </c>
      <c r="G27" s="5" t="n">
        <f aca="false">IFERROR(IF(OR(B27&lt;=0,D27&lt;=0,B27="",D27=""),"",(D27/B27)^(1/2)-1),"")</f>
        <v>0.349176229295437</v>
      </c>
    </row>
    <row r="28" customFormat="false" ht="15" hidden="false" customHeight="true" outlineLevel="0" collapsed="false">
      <c r="A28" s="3" t="s">
        <v>33</v>
      </c>
      <c r="B28" s="4" t="n">
        <v>19.89</v>
      </c>
      <c r="C28" s="4" t="n">
        <v>21.3</v>
      </c>
      <c r="D28" s="4" t="n">
        <v>24.44</v>
      </c>
      <c r="E28" s="5" t="n">
        <f aca="false">IFERROR(IF(OR(B28=0,B28="",C28=""),"",(C28-B28)/ABS(B28)),"")</f>
        <v>0.0708898944193062</v>
      </c>
      <c r="F28" s="5" t="n">
        <f aca="false">IFERROR(IF(OR(C28=0,C28="",D28=""),"",(D28-C28)/ABS(C28)),"")</f>
        <v>0.147417840375587</v>
      </c>
      <c r="G28" s="5" t="n">
        <f aca="false">IFERROR(IF(OR(B28&lt;=0,D28&lt;=0,B28="",D28=""),"",(D28/B28)^(1/2)-1),"")</f>
        <v>0.108493649027652</v>
      </c>
    </row>
    <row r="29" customFormat="false" ht="15" hidden="false" customHeight="true" outlineLevel="0" collapsed="false">
      <c r="A29" s="3" t="s">
        <v>34</v>
      </c>
      <c r="B29" s="4" t="n">
        <v>36.48</v>
      </c>
      <c r="C29" s="4" t="n">
        <v>47.54</v>
      </c>
      <c r="D29" s="4" t="n">
        <v>55.93</v>
      </c>
      <c r="E29" s="5" t="n">
        <f aca="false">IFERROR(IF(OR(B29=0,B29="",C29=""),"",(C29-B29)/ABS(B29)),"")</f>
        <v>0.303179824561404</v>
      </c>
      <c r="F29" s="5" t="n">
        <f aca="false">IFERROR(IF(OR(C29=0,C29="",D29=""),"",(D29-C29)/ABS(C29)),"")</f>
        <v>0.176482961716449</v>
      </c>
      <c r="G29" s="5" t="n">
        <f aca="false">IFERROR(IF(OR(B29&lt;=0,D29&lt;=0,B29="",D29=""),"",(D29/B29)^(1/2)-1),"")</f>
        <v>0.238211960711543</v>
      </c>
    </row>
    <row r="30" customFormat="false" ht="15" hidden="false" customHeight="true" outlineLevel="0" collapsed="false">
      <c r="A30" s="3" t="s">
        <v>35</v>
      </c>
      <c r="B30" s="4" t="n">
        <v>4.43</v>
      </c>
      <c r="C30" s="4" t="n">
        <v>5.41</v>
      </c>
      <c r="D30" s="4" t="n">
        <v>6.34</v>
      </c>
      <c r="E30" s="5" t="n">
        <f aca="false">IFERROR(IF(OR(B30=0,B30="",C30=""),"",(C30-B30)/ABS(B30)),"")</f>
        <v>0.221218961625282</v>
      </c>
      <c r="F30" s="5" t="n">
        <f aca="false">IFERROR(IF(OR(C30=0,C30="",D30=""),"",(D30-C30)/ABS(C30)),"")</f>
        <v>0.171903881700554</v>
      </c>
      <c r="G30" s="5" t="n">
        <f aca="false">IFERROR(IF(OR(B30&lt;=0,D30&lt;=0,B30="",D30=""),"",(D30/B30)^(1/2)-1),"")</f>
        <v>0.196307335735675</v>
      </c>
    </row>
    <row r="31" customFormat="false" ht="15" hidden="false" customHeight="true" outlineLevel="0" collapsed="false">
      <c r="A31" s="3" t="s">
        <v>36</v>
      </c>
      <c r="B31" s="4" t="n">
        <v>11.36</v>
      </c>
      <c r="C31" s="4" t="n">
        <v>18.26</v>
      </c>
      <c r="D31" s="4" t="n">
        <v>23.16</v>
      </c>
      <c r="E31" s="5" t="n">
        <f aca="false">IFERROR(IF(OR(B31=0,B31="",C31=""),"",(C31-B31)/ABS(B31)),"")</f>
        <v>0.607394366197183</v>
      </c>
      <c r="F31" s="5" t="n">
        <f aca="false">IFERROR(IF(OR(C31=0,C31="",D31=""),"",(D31-C31)/ABS(C31)),"")</f>
        <v>0.268346111719606</v>
      </c>
      <c r="G31" s="5" t="n">
        <f aca="false">IFERROR(IF(OR(B31&lt;=0,D31&lt;=0,B31="",D31=""),"",(D31/B31)^(1/2)-1),"")</f>
        <v>0.427841866022354</v>
      </c>
    </row>
    <row r="32" customFormat="false" ht="15" hidden="false" customHeight="true" outlineLevel="0" collapsed="false">
      <c r="A32" s="3" t="s">
        <v>37</v>
      </c>
      <c r="B32" s="4" t="n">
        <v>0.3</v>
      </c>
      <c r="C32" s="4" t="n">
        <v>0.75</v>
      </c>
      <c r="D32" s="4" t="n">
        <v>1.8</v>
      </c>
      <c r="E32" s="5" t="n">
        <f aca="false">IFERROR(IF(OR(B32=0,B32="",C32=""),"",(C32-B32)/ABS(B32)),"")</f>
        <v>1.5</v>
      </c>
      <c r="F32" s="5" t="n">
        <f aca="false">IFERROR(IF(OR(C32=0,C32="",D32=""),"",(D32-C32)/ABS(C32)),"")</f>
        <v>1.4</v>
      </c>
      <c r="G32" s="5" t="n">
        <f aca="false">IFERROR(IF(OR(B32&lt;=0,D32&lt;=0,B32="",D32=""),"",(D32/B32)^(1/2)-1),"")</f>
        <v>1.44948974278318</v>
      </c>
    </row>
    <row r="33" customFormat="false" ht="15" hidden="false" customHeight="true" outlineLevel="0" collapsed="false">
      <c r="A33" s="3" t="s">
        <v>38</v>
      </c>
      <c r="B33" s="4" t="n">
        <v>2.13</v>
      </c>
      <c r="C33" s="4" t="n">
        <v>4.32</v>
      </c>
      <c r="D33" s="4" t="n">
        <v>7.08</v>
      </c>
      <c r="E33" s="5" t="n">
        <f aca="false">IFERROR(IF(OR(B33=0,B33="",C33=""),"",(C33-B33)/ABS(B33)),"")</f>
        <v>1.02816901408451</v>
      </c>
      <c r="F33" s="5" t="n">
        <f aca="false">IFERROR(IF(OR(C33=0,C33="",D33=""),"",(D33-C33)/ABS(C33)),"")</f>
        <v>0.638888888888889</v>
      </c>
      <c r="G33" s="5" t="n">
        <f aca="false">IFERROR(IF(OR(B33&lt;=0,D33&lt;=0,B33="",D33=""),"",(D33/B33)^(1/2)-1),"")</f>
        <v>0.823168577496835</v>
      </c>
    </row>
    <row r="34" customFormat="false" ht="15" hidden="false" customHeight="true" outlineLevel="0" collapsed="false">
      <c r="A34" s="3" t="s">
        <v>39</v>
      </c>
      <c r="B34" s="4" t="n">
        <v>4.59</v>
      </c>
      <c r="C34" s="4" t="n">
        <v>6.89</v>
      </c>
      <c r="D34" s="4" t="n">
        <v>8.73</v>
      </c>
      <c r="E34" s="5" t="n">
        <f aca="false">IFERROR(IF(OR(B34=0,B34="",C34=""),"",(C34-B34)/ABS(B34)),"")</f>
        <v>0.501089324618736</v>
      </c>
      <c r="F34" s="5" t="n">
        <f aca="false">IFERROR(IF(OR(C34=0,C34="",D34=""),"",(D34-C34)/ABS(C34)),"")</f>
        <v>0.267053701015965</v>
      </c>
      <c r="G34" s="5" t="n">
        <f aca="false">IFERROR(IF(OR(B34&lt;=0,D34&lt;=0,B34="",D34=""),"",(D34/B34)^(1/2)-1),"")</f>
        <v>0.379115943027897</v>
      </c>
    </row>
    <row r="35" customFormat="false" ht="15" hidden="false" customHeight="true" outlineLevel="0" collapsed="false">
      <c r="A35" s="3" t="s">
        <v>40</v>
      </c>
      <c r="B35" s="4" t="n">
        <v>2.57</v>
      </c>
      <c r="C35" s="4" t="n">
        <v>2.6</v>
      </c>
      <c r="D35" s="4" t="n">
        <v>2.49</v>
      </c>
      <c r="E35" s="5" t="n">
        <f aca="false">IFERROR(IF(OR(B35=0,B35="",C35=""),"",(C35-B35)/ABS(B35)),"")</f>
        <v>0.0116731517509729</v>
      </c>
      <c r="F35" s="5" t="n">
        <f aca="false">IFERROR(IF(OR(C35=0,C35="",D35=""),"",(D35-C35)/ABS(C35)),"")</f>
        <v>-0.0423076923076923</v>
      </c>
      <c r="G35" s="5" t="n">
        <f aca="false">IFERROR(IF(OR(B35&lt;=0,D35&lt;=0,B35="",D35=""),"",(D35/B35)^(1/2)-1),"")</f>
        <v>-0.0156872471969393</v>
      </c>
    </row>
    <row r="36" customFormat="false" ht="15" hidden="false" customHeight="true" outlineLevel="0" collapsed="false">
      <c r="A36" s="3" t="s">
        <v>41</v>
      </c>
      <c r="B36" s="4" t="n">
        <v>10.45</v>
      </c>
      <c r="C36" s="4" t="n">
        <v>12.3</v>
      </c>
      <c r="D36" s="4" t="n">
        <v>14.38</v>
      </c>
      <c r="E36" s="5" t="n">
        <f aca="false">IFERROR(IF(OR(B36=0,B36="",C36=""),"",(C36-B36)/ABS(B36)),"")</f>
        <v>0.177033492822967</v>
      </c>
      <c r="F36" s="5" t="n">
        <f aca="false">IFERROR(IF(OR(C36=0,C36="",D36=""),"",(D36-C36)/ABS(C36)),"")</f>
        <v>0.169105691056911</v>
      </c>
      <c r="G36" s="5" t="n">
        <f aca="false">IFERROR(IF(OR(B36&lt;=0,D36&lt;=0,B36="",D36=""),"",(D36/B36)^(1/2)-1),"")</f>
        <v>0.173062894743468</v>
      </c>
    </row>
    <row r="37" customFormat="false" ht="15" hidden="false" customHeight="true" outlineLevel="0" collapsed="false">
      <c r="A37" s="3" t="s">
        <v>42</v>
      </c>
      <c r="B37" s="4" t="n">
        <v>3.38</v>
      </c>
      <c r="C37" s="4" t="n">
        <v>3.76</v>
      </c>
      <c r="D37" s="4" t="n">
        <v>4.21</v>
      </c>
      <c r="E37" s="5" t="n">
        <f aca="false">IFERROR(IF(OR(B37=0,B37="",C37=""),"",(C37-B37)/ABS(B37)),"")</f>
        <v>0.112426035502959</v>
      </c>
      <c r="F37" s="5" t="n">
        <f aca="false">IFERROR(IF(OR(C37=0,C37="",D37=""),"",(D37-C37)/ABS(C37)),"")</f>
        <v>0.11968085106383</v>
      </c>
      <c r="G37" s="5" t="n">
        <f aca="false">IFERROR(IF(OR(B37&lt;=0,D37&lt;=0,B37="",D37=""),"",(D37/B37)^(1/2)-1),"")</f>
        <v>0.116047548349762</v>
      </c>
    </row>
    <row r="38" customFormat="false" ht="15" hidden="false" customHeight="true" outlineLevel="0" collapsed="false">
      <c r="A38" s="3" t="s">
        <v>43</v>
      </c>
      <c r="B38" s="4" t="n">
        <v>5.2</v>
      </c>
      <c r="C38" s="4" t="n">
        <v>5.86</v>
      </c>
      <c r="D38" s="4" t="n">
        <v>6.46</v>
      </c>
      <c r="E38" s="5" t="n">
        <f aca="false">IFERROR(IF(OR(B38=0,B38="",C38=""),"",(C38-B38)/ABS(B38)),"")</f>
        <v>0.126923076923077</v>
      </c>
      <c r="F38" s="5" t="n">
        <f aca="false">IFERROR(IF(OR(C38=0,C38="",D38=""),"",(D38-C38)/ABS(C38)),"")</f>
        <v>0.102389078498293</v>
      </c>
      <c r="G38" s="5" t="n">
        <f aca="false">IFERROR(IF(OR(B38&lt;=0,D38&lt;=0,B38="",D38=""),"",(D38/B38)^(1/2)-1),"")</f>
        <v>0.114588575353118</v>
      </c>
    </row>
    <row r="39" customFormat="false" ht="15" hidden="false" customHeight="true" outlineLevel="0" collapsed="false">
      <c r="A39" s="3" t="s">
        <v>44</v>
      </c>
      <c r="B39" s="4" t="n">
        <v>4.71</v>
      </c>
      <c r="C39" s="4" t="n">
        <v>5.21</v>
      </c>
      <c r="D39" s="4" t="n">
        <v>5.85</v>
      </c>
      <c r="E39" s="5" t="n">
        <f aca="false">IFERROR(IF(OR(B39=0,B39="",C39=""),"",(C39-B39)/ABS(B39)),"")</f>
        <v>0.106157112526539</v>
      </c>
      <c r="F39" s="5" t="n">
        <f aca="false">IFERROR(IF(OR(C39=0,C39="",D39=""),"",(D39-C39)/ABS(C39)),"")</f>
        <v>0.122840690978887</v>
      </c>
      <c r="G39" s="5" t="n">
        <f aca="false">IFERROR(IF(OR(B39&lt;=0,D39&lt;=0,B39="",D39=""),"",(D39/B39)^(1/2)-1),"")</f>
        <v>0.114467683048957</v>
      </c>
    </row>
    <row r="40" customFormat="false" ht="15" hidden="false" customHeight="true" outlineLevel="0" collapsed="false">
      <c r="A40" s="3" t="s">
        <v>45</v>
      </c>
      <c r="B40" s="4" t="n">
        <v>10.77</v>
      </c>
      <c r="C40" s="4" t="n">
        <v>11.98</v>
      </c>
      <c r="D40" s="4" t="n">
        <v>13.52</v>
      </c>
      <c r="E40" s="5" t="n">
        <f aca="false">IFERROR(IF(OR(B40=0,B40="",C40=""),"",(C40-B40)/ABS(B40)),"")</f>
        <v>0.112349117920149</v>
      </c>
      <c r="F40" s="5" t="n">
        <f aca="false">IFERROR(IF(OR(C40=0,C40="",D40=""),"",(D40-C40)/ABS(C40)),"")</f>
        <v>0.128547579298831</v>
      </c>
      <c r="G40" s="5" t="n">
        <f aca="false">IFERROR(IF(OR(B40&lt;=0,D40&lt;=0,B40="",D40=""),"",(D40/B40)^(1/2)-1),"")</f>
        <v>0.120419075330287</v>
      </c>
    </row>
    <row r="41" customFormat="false" ht="15" hidden="false" customHeight="true" outlineLevel="0" collapsed="false">
      <c r="A41" s="3" t="s">
        <v>46</v>
      </c>
      <c r="B41" s="4" t="n">
        <v>3.5</v>
      </c>
      <c r="C41" s="4" t="n">
        <v>4.52</v>
      </c>
      <c r="D41" s="4" t="n">
        <v>5.37</v>
      </c>
      <c r="E41" s="5" t="n">
        <f aca="false">IFERROR(IF(OR(B41=0,B41="",C41=""),"",(C41-B41)/ABS(B41)),"")</f>
        <v>0.291428571428571</v>
      </c>
      <c r="F41" s="5" t="n">
        <f aca="false">IFERROR(IF(OR(C41=0,C41="",D41=""),"",(D41-C41)/ABS(C41)),"")</f>
        <v>0.188053097345133</v>
      </c>
      <c r="G41" s="5" t="n">
        <f aca="false">IFERROR(IF(OR(B41&lt;=0,D41&lt;=0,B41="",D41=""),"",(D41/B41)^(1/2)-1),"")</f>
        <v>0.238662873539735</v>
      </c>
    </row>
    <row r="42" customFormat="false" ht="15" hidden="false" customHeight="true" outlineLevel="0" collapsed="false">
      <c r="A42" s="3" t="s">
        <v>47</v>
      </c>
      <c r="B42" s="4" t="n">
        <v>24.38</v>
      </c>
      <c r="C42" s="4" t="n">
        <v>29.81</v>
      </c>
      <c r="D42" s="4" t="n">
        <v>36.63</v>
      </c>
      <c r="E42" s="5" t="n">
        <f aca="false">IFERROR(IF(OR(B42=0,B42="",C42=""),"",(C42-B42)/ABS(B42)),"")</f>
        <v>0.222723543888433</v>
      </c>
      <c r="F42" s="5" t="n">
        <f aca="false">IFERROR(IF(OR(C42=0,C42="",D42=""),"",(D42-C42)/ABS(C42)),"")</f>
        <v>0.228782287822878</v>
      </c>
      <c r="G42" s="5" t="n">
        <f aca="false">IFERROR(IF(OR(B42&lt;=0,D42&lt;=0,B42="",D42=""),"",(D42/B42)^(1/2)-1),"")</f>
        <v>0.225749172397896</v>
      </c>
    </row>
    <row r="43" customFormat="false" ht="15" hidden="false" customHeight="true" outlineLevel="0" collapsed="false">
      <c r="A43" s="3" t="s">
        <v>48</v>
      </c>
      <c r="B43" s="4" t="n">
        <v>7.95</v>
      </c>
      <c r="C43" s="4" t="n">
        <v>9.38</v>
      </c>
      <c r="D43" s="4" t="n">
        <v>10.91</v>
      </c>
      <c r="E43" s="5" t="n">
        <f aca="false">IFERROR(IF(OR(B43=0,B43="",C43=""),"",(C43-B43)/ABS(B43)),"")</f>
        <v>0.179874213836478</v>
      </c>
      <c r="F43" s="5" t="n">
        <f aca="false">IFERROR(IF(OR(C43=0,C43="",D43=""),"",(D43-C43)/ABS(C43)),"")</f>
        <v>0.163113006396588</v>
      </c>
      <c r="G43" s="5" t="n">
        <f aca="false">IFERROR(IF(OR(B43&lt;=0,D43&lt;=0,B43="",D43=""),"",(D43/B43)^(1/2)-1),"")</f>
        <v>0.17146363324909</v>
      </c>
    </row>
    <row r="44" customFormat="false" ht="15" hidden="false" customHeight="true" outlineLevel="0" collapsed="false">
      <c r="A44" s="3" t="s">
        <v>49</v>
      </c>
      <c r="B44" s="4" t="n">
        <v>1.63</v>
      </c>
      <c r="C44" s="4" t="n">
        <v>2.04</v>
      </c>
      <c r="D44" s="4" t="n">
        <v>2.31</v>
      </c>
      <c r="E44" s="5" t="n">
        <f aca="false">IFERROR(IF(OR(B44=0,B44="",C44=""),"",(C44-B44)/ABS(B44)),"")</f>
        <v>0.251533742331288</v>
      </c>
      <c r="F44" s="5" t="n">
        <f aca="false">IFERROR(IF(OR(C44=0,C44="",D44=""),"",(D44-C44)/ABS(C44)),"")</f>
        <v>0.132352941176471</v>
      </c>
      <c r="G44" s="5" t="n">
        <f aca="false">IFERROR(IF(OR(B44&lt;=0,D44&lt;=0,B44="",D44=""),"",(D44/B44)^(1/2)-1),"")</f>
        <v>0.190452818935059</v>
      </c>
    </row>
    <row r="45" customFormat="false" ht="15" hidden="false" customHeight="true" outlineLevel="0" collapsed="false">
      <c r="A45" s="3" t="s">
        <v>50</v>
      </c>
      <c r="B45" s="4" t="n">
        <v>2.24</v>
      </c>
      <c r="C45" s="4" t="n">
        <v>2.61</v>
      </c>
      <c r="D45" s="4" t="n">
        <v>3.01</v>
      </c>
      <c r="E45" s="5" t="n">
        <f aca="false">IFERROR(IF(OR(B45=0,B45="",C45=""),"",(C45-B45)/ABS(B45)),"")</f>
        <v>0.165178571428571</v>
      </c>
      <c r="F45" s="5" t="n">
        <f aca="false">IFERROR(IF(OR(C45=0,C45="",D45=""),"",(D45-C45)/ABS(C45)),"")</f>
        <v>0.153256704980843</v>
      </c>
      <c r="G45" s="5" t="n">
        <f aca="false">IFERROR(IF(OR(B45&lt;=0,D45&lt;=0,B45="",D45=""),"",(D45/B45)^(1/2)-1),"")</f>
        <v>0.159202311936963</v>
      </c>
    </row>
    <row r="46" customFormat="false" ht="15" hidden="false" customHeight="true" outlineLevel="0" collapsed="false">
      <c r="A46" s="3" t="s">
        <v>51</v>
      </c>
      <c r="B46" s="4" t="n">
        <v>6.24</v>
      </c>
      <c r="C46" s="4" t="n">
        <v>8.74</v>
      </c>
      <c r="D46" s="4" t="n">
        <v>13.19</v>
      </c>
      <c r="E46" s="5" t="n">
        <f aca="false">IFERROR(IF(OR(B46=0,B46="",C46=""),"",(C46-B46)/ABS(B46)),"")</f>
        <v>0.400641025641026</v>
      </c>
      <c r="F46" s="5" t="n">
        <f aca="false">IFERROR(IF(OR(C46=0,C46="",D46=""),"",(D46-C46)/ABS(C46)),"")</f>
        <v>0.509153318077803</v>
      </c>
      <c r="G46" s="5" t="n">
        <f aca="false">IFERROR(IF(OR(B46&lt;=0,D46&lt;=0,B46="",D46=""),"",(D46/B46)^(1/2)-1),"")</f>
        <v>0.453885157528631</v>
      </c>
    </row>
    <row r="47" customFormat="false" ht="15" hidden="false" customHeight="true" outlineLevel="0" collapsed="false">
      <c r="A47" s="3" t="s">
        <v>52</v>
      </c>
      <c r="B47" s="4" t="n">
        <v>10.15</v>
      </c>
      <c r="C47" s="4" t="n">
        <v>14.81</v>
      </c>
      <c r="D47" s="4" t="n">
        <v>18.57</v>
      </c>
      <c r="E47" s="5" t="n">
        <f aca="false">IFERROR(IF(OR(B47=0,B47="",C47=""),"",(C47-B47)/ABS(B47)),"")</f>
        <v>0.459113300492611</v>
      </c>
      <c r="F47" s="5" t="n">
        <f aca="false">IFERROR(IF(OR(C47=0,C47="",D47=""),"",(D47-C47)/ABS(C47)),"")</f>
        <v>0.25388251181634</v>
      </c>
      <c r="G47" s="5" t="n">
        <f aca="false">IFERROR(IF(OR(B47&lt;=0,D47&lt;=0,B47="",D47=""),"",(D47/B47)^(1/2)-1),"")</f>
        <v>0.35261104913656</v>
      </c>
    </row>
    <row r="48" customFormat="false" ht="15" hidden="false" customHeight="true" outlineLevel="0" collapsed="false">
      <c r="A48" s="3" t="s">
        <v>53</v>
      </c>
      <c r="B48" s="4" t="n">
        <v>1.13</v>
      </c>
      <c r="C48" s="4" t="n">
        <v>1.36</v>
      </c>
      <c r="D48" s="4" t="n">
        <v>1.6</v>
      </c>
      <c r="E48" s="5" t="n">
        <f aca="false">IFERROR(IF(OR(B48=0,B48="",C48=""),"",(C48-B48)/ABS(B48)),"")</f>
        <v>0.20353982300885</v>
      </c>
      <c r="F48" s="5" t="n">
        <f aca="false">IFERROR(IF(OR(C48=0,C48="",D48=""),"",(D48-C48)/ABS(C48)),"")</f>
        <v>0.176470588235294</v>
      </c>
      <c r="G48" s="5" t="n">
        <f aca="false">IFERROR(IF(OR(B48&lt;=0,D48&lt;=0,B48="",D48=""),"",(D48/B48)^(1/2)-1),"")</f>
        <v>0.189928234617459</v>
      </c>
    </row>
    <row r="49" customFormat="false" ht="15" hidden="false" customHeight="true" outlineLevel="0" collapsed="false">
      <c r="A49" s="3" t="s">
        <v>54</v>
      </c>
      <c r="B49" s="4" t="n">
        <v>28.95</v>
      </c>
      <c r="C49" s="4" t="n">
        <v>33.26</v>
      </c>
      <c r="D49" s="4" t="n">
        <v>38.91</v>
      </c>
      <c r="E49" s="5" t="n">
        <f aca="false">IFERROR(IF(OR(B49=0,B49="",C49=""),"",(C49-B49)/ABS(B49)),"")</f>
        <v>0.148877374784111</v>
      </c>
      <c r="F49" s="5" t="n">
        <f aca="false">IFERROR(IF(OR(C49=0,C49="",D49=""),"",(D49-C49)/ABS(C49)),"")</f>
        <v>0.169873722188815</v>
      </c>
      <c r="G49" s="5" t="n">
        <f aca="false">IFERROR(IF(OR(B49&lt;=0,D49&lt;=0,B49="",D49=""),"",(D49/B49)^(1/2)-1),"")</f>
        <v>0.159328016903414</v>
      </c>
    </row>
    <row r="50" customFormat="false" ht="15" hidden="false" customHeight="true" outlineLevel="0" collapsed="false">
      <c r="A50" s="3" t="s">
        <v>55</v>
      </c>
      <c r="B50" s="4" t="n">
        <v>19.7</v>
      </c>
      <c r="C50" s="4" t="n">
        <v>24.18</v>
      </c>
      <c r="D50" s="4" t="n">
        <v>28.79</v>
      </c>
      <c r="E50" s="5" t="n">
        <f aca="false">IFERROR(IF(OR(B50=0,B50="",C50=""),"",(C50-B50)/ABS(B50)),"")</f>
        <v>0.22741116751269</v>
      </c>
      <c r="F50" s="5" t="n">
        <f aca="false">IFERROR(IF(OR(C50=0,C50="",D50=""),"",(D50-C50)/ABS(C50)),"")</f>
        <v>0.190653432588916</v>
      </c>
      <c r="G50" s="5" t="n">
        <f aca="false">IFERROR(IF(OR(B50&lt;=0,D50&lt;=0,B50="",D50=""),"",(D50/B50)^(1/2)-1),"")</f>
        <v>0.208892600604766</v>
      </c>
    </row>
    <row r="51" customFormat="false" ht="15" hidden="false" customHeight="true" outlineLevel="0" collapsed="false">
      <c r="A51" s="3" t="s">
        <v>56</v>
      </c>
      <c r="B51" s="4" t="n">
        <v>5.45</v>
      </c>
      <c r="C51" s="4" t="n">
        <v>8.1</v>
      </c>
      <c r="D51" s="4" t="n">
        <v>12.24</v>
      </c>
      <c r="E51" s="5" t="n">
        <f aca="false">IFERROR(IF(OR(B51=0,B51="",C51=""),"",(C51-B51)/ABS(B51)),"")</f>
        <v>0.486238532110092</v>
      </c>
      <c r="F51" s="5" t="n">
        <f aca="false">IFERROR(IF(OR(C51=0,C51="",D51=""),"",(D51-C51)/ABS(C51)),"")</f>
        <v>0.511111111111111</v>
      </c>
      <c r="G51" s="5" t="n">
        <f aca="false">IFERROR(IF(OR(B51&lt;=0,D51&lt;=0,B51="",D51=""),"",(D51/B51)^(1/2)-1),"")</f>
        <v>0.498623221371212</v>
      </c>
    </row>
    <row r="52" customFormat="false" ht="15" hidden="false" customHeight="true" outlineLevel="0" collapsed="false">
      <c r="A52" s="3" t="s">
        <v>57</v>
      </c>
      <c r="B52" s="4" t="n">
        <v>17.75</v>
      </c>
      <c r="C52" s="4" t="n">
        <v>19.78</v>
      </c>
      <c r="D52" s="4" t="n">
        <v>21.9</v>
      </c>
      <c r="E52" s="5" t="n">
        <f aca="false">IFERROR(IF(OR(B52=0,B52="",C52=""),"",(C52-B52)/ABS(B52)),"")</f>
        <v>0.114366197183099</v>
      </c>
      <c r="F52" s="5" t="n">
        <f aca="false">IFERROR(IF(OR(C52=0,C52="",D52=""),"",(D52-C52)/ABS(C52)),"")</f>
        <v>0.107178968655207</v>
      </c>
      <c r="G52" s="5" t="n">
        <f aca="false">IFERROR(IF(OR(B52&lt;=0,D52&lt;=0,B52="",D52=""),"",(D52/B52)^(1/2)-1),"")</f>
        <v>0.110766769804268</v>
      </c>
    </row>
    <row r="53" customFormat="false" ht="15" hidden="false" customHeight="true" outlineLevel="0" collapsed="false">
      <c r="A53" s="3" t="s">
        <v>58</v>
      </c>
      <c r="B53" s="4" t="n">
        <v>20.56</v>
      </c>
      <c r="C53" s="4" t="n">
        <v>22.55</v>
      </c>
      <c r="D53" s="4" t="n">
        <v>24.82</v>
      </c>
      <c r="E53" s="5" t="n">
        <f aca="false">IFERROR(IF(OR(B53=0,B53="",C53=""),"",(C53-B53)/ABS(B53)),"")</f>
        <v>0.0967898832684826</v>
      </c>
      <c r="F53" s="5" t="n">
        <f aca="false">IFERROR(IF(OR(C53=0,C53="",D53=""),"",(D53-C53)/ABS(C53)),"")</f>
        <v>0.100665188470067</v>
      </c>
      <c r="G53" s="5" t="n">
        <f aca="false">IFERROR(IF(OR(B53&lt;=0,D53&lt;=0,B53="",D53=""),"",(D53/B53)^(1/2)-1),"")</f>
        <v>0.0987258273016825</v>
      </c>
    </row>
    <row r="54" customFormat="false" ht="15" hidden="false" customHeight="true" outlineLevel="0" collapsed="false">
      <c r="A54" s="3" t="s">
        <v>59</v>
      </c>
      <c r="B54" s="4" t="n">
        <v>3.31</v>
      </c>
      <c r="C54" s="4" t="n">
        <v>5.52</v>
      </c>
      <c r="D54" s="4" t="n">
        <v>7.6</v>
      </c>
      <c r="E54" s="5" t="n">
        <f aca="false">IFERROR(IF(OR(B54=0,B54="",C54=""),"",(C54-B54)/ABS(B54)),"")</f>
        <v>0.667673716012085</v>
      </c>
      <c r="F54" s="5" t="n">
        <f aca="false">IFERROR(IF(OR(C54=0,C54="",D54=""),"",(D54-C54)/ABS(C54)),"")</f>
        <v>0.376811594202899</v>
      </c>
      <c r="G54" s="5" t="n">
        <f aca="false">IFERROR(IF(OR(B54&lt;=0,D54&lt;=0,B54="",D54=""),"",(D54/B54)^(1/2)-1),"")</f>
        <v>0.515279679647579</v>
      </c>
    </row>
    <row r="55" customFormat="false" ht="15" hidden="false" customHeight="true" outlineLevel="0" collapsed="false">
      <c r="A55" s="3" t="s">
        <v>60</v>
      </c>
      <c r="B55" s="4" t="n">
        <v>13.23</v>
      </c>
      <c r="C55" s="4" t="n">
        <v>14.97</v>
      </c>
      <c r="D55" s="4" t="n">
        <v>17.92</v>
      </c>
      <c r="E55" s="5" t="n">
        <f aca="false">IFERROR(IF(OR(B55=0,B55="",C55=""),"",(C55-B55)/ABS(B55)),"")</f>
        <v>0.131519274376417</v>
      </c>
      <c r="F55" s="5" t="n">
        <f aca="false">IFERROR(IF(OR(C55=0,C55="",D55=""),"",(D55-C55)/ABS(C55)),"")</f>
        <v>0.197060788243153</v>
      </c>
      <c r="G55" s="5" t="n">
        <f aca="false">IFERROR(IF(OR(B55&lt;=0,D55&lt;=0,B55="",D55=""),"",(D55/B55)^(1/2)-1),"")</f>
        <v>0.163828747925293</v>
      </c>
    </row>
    <row r="56" customFormat="false" ht="15" hidden="false" customHeight="true" outlineLevel="0" collapsed="false">
      <c r="A56" s="3" t="s">
        <v>61</v>
      </c>
      <c r="B56" s="4" t="n">
        <v>10.57</v>
      </c>
      <c r="C56" s="4" t="n">
        <v>12.63</v>
      </c>
      <c r="D56" s="4" t="n">
        <v>14.96</v>
      </c>
      <c r="E56" s="5" t="n">
        <f aca="false">IFERROR(IF(OR(B56=0,B56="",C56=""),"",(C56-B56)/ABS(B56)),"")</f>
        <v>0.194891201513718</v>
      </c>
      <c r="F56" s="5" t="n">
        <f aca="false">IFERROR(IF(OR(C56=0,C56="",D56=""),"",(D56-C56)/ABS(C56)),"")</f>
        <v>0.184481393507522</v>
      </c>
      <c r="G56" s="5" t="n">
        <f aca="false">IFERROR(IF(OR(B56&lt;=0,D56&lt;=0,B56="",D56=""),"",(D56/B56)^(1/2)-1),"")</f>
        <v>0.189674911670766</v>
      </c>
    </row>
    <row r="57" customFormat="false" ht="15" hidden="false" customHeight="true" outlineLevel="0" collapsed="false">
      <c r="A57" s="3" t="s">
        <v>62</v>
      </c>
      <c r="B57" s="4" t="n">
        <v>4.85</v>
      </c>
      <c r="C57" s="4" t="n">
        <v>6.16</v>
      </c>
      <c r="D57" s="4" t="n">
        <v>8.04</v>
      </c>
      <c r="E57" s="5" t="n">
        <f aca="false">IFERROR(IF(OR(B57=0,B57="",C57=""),"",(C57-B57)/ABS(B57)),"")</f>
        <v>0.270103092783505</v>
      </c>
      <c r="F57" s="5" t="n">
        <f aca="false">IFERROR(IF(OR(C57=0,C57="",D57=""),"",(D57-C57)/ABS(C57)),"")</f>
        <v>0.305194805194805</v>
      </c>
      <c r="G57" s="5" t="n">
        <f aca="false">IFERROR(IF(OR(B57&lt;=0,D57&lt;=0,B57="",D57=""),"",(D57/B57)^(1/2)-1),"")</f>
        <v>0.287529401125616</v>
      </c>
    </row>
    <row r="58" customFormat="false" ht="15" hidden="false" customHeight="true" outlineLevel="0" collapsed="false">
      <c r="A58" s="3" t="s">
        <v>63</v>
      </c>
      <c r="B58" s="4" t="n">
        <v>-3.29</v>
      </c>
      <c r="C58" s="4" t="n">
        <v>-0.63</v>
      </c>
      <c r="D58" s="4" t="n">
        <v>3.17</v>
      </c>
      <c r="E58" s="5" t="n">
        <f aca="false">IFERROR(IF(OR(B58=0,B58="",C58=""),"",(C58-B58)/ABS(B58)),"")</f>
        <v>0.808510638297872</v>
      </c>
      <c r="F58" s="5" t="n">
        <f aca="false">IFERROR(IF(OR(C58=0,C58="",D58=""),"",(D58-C58)/ABS(C58)),"")</f>
        <v>6.03174603174603</v>
      </c>
      <c r="G58" s="5" t="str">
        <f aca="false">IFERROR(IF(OR(B58&lt;=0,D58&lt;=0,B58="",D58=""),"",(D58/B58)^(1/2)-1),"")</f>
        <v/>
      </c>
    </row>
    <row r="59" customFormat="false" ht="15" hidden="false" customHeight="true" outlineLevel="0" collapsed="false">
      <c r="A59" s="3" t="s">
        <v>64</v>
      </c>
      <c r="B59" s="4" t="n">
        <v>4.28</v>
      </c>
      <c r="C59" s="4" t="n">
        <v>4.77</v>
      </c>
      <c r="D59" s="4" t="n">
        <v>5.23</v>
      </c>
      <c r="E59" s="5" t="n">
        <f aca="false">IFERROR(IF(OR(B59=0,B59="",C59=""),"",(C59-B59)/ABS(B59)),"")</f>
        <v>0.114485981308411</v>
      </c>
      <c r="F59" s="5" t="n">
        <f aca="false">IFERROR(IF(OR(C59=0,C59="",D59=""),"",(D59-C59)/ABS(C59)),"")</f>
        <v>0.0964360587002098</v>
      </c>
      <c r="G59" s="5" t="n">
        <f aca="false">IFERROR(IF(OR(B59&lt;=0,D59&lt;=0,B59="",D59=""),"",(D59/B59)^(1/2)-1),"")</f>
        <v>0.105424179590093</v>
      </c>
    </row>
    <row r="60" customFormat="false" ht="15" hidden="false" customHeight="true" outlineLevel="0" collapsed="false">
      <c r="A60" s="3" t="s">
        <v>65</v>
      </c>
      <c r="B60" s="4" t="n">
        <v>7.43</v>
      </c>
      <c r="C60" s="4" t="n">
        <v>8.36</v>
      </c>
      <c r="D60" s="4" t="n">
        <v>9.6</v>
      </c>
      <c r="E60" s="5" t="n">
        <f aca="false">IFERROR(IF(OR(B60=0,B60="",C60=""),"",(C60-B60)/ABS(B60)),"")</f>
        <v>0.125168236877524</v>
      </c>
      <c r="F60" s="5" t="n">
        <f aca="false">IFERROR(IF(OR(C60=0,C60="",D60=""),"",(D60-C60)/ABS(C60)),"")</f>
        <v>0.148325358851675</v>
      </c>
      <c r="G60" s="5" t="n">
        <f aca="false">IFERROR(IF(OR(B60&lt;=0,D60&lt;=0,B60="",D60=""),"",(D60/B60)^(1/2)-1),"")</f>
        <v>0.136687828465181</v>
      </c>
    </row>
    <row r="61" customFormat="false" ht="15" hidden="false" customHeight="true" outlineLevel="0" collapsed="false">
      <c r="A61" s="3" t="s">
        <v>66</v>
      </c>
      <c r="B61" s="4" t="n">
        <v>5.6</v>
      </c>
      <c r="C61" s="4" t="n">
        <v>7.78</v>
      </c>
      <c r="D61" s="4" t="n">
        <v>10.37</v>
      </c>
      <c r="E61" s="5" t="n">
        <f aca="false">IFERROR(IF(OR(B61=0,B61="",C61=""),"",(C61-B61)/ABS(B61)),"")</f>
        <v>0.389285714285714</v>
      </c>
      <c r="F61" s="5" t="n">
        <f aca="false">IFERROR(IF(OR(C61=0,C61="",D61=""),"",(D61-C61)/ABS(C61)),"")</f>
        <v>0.332904884318766</v>
      </c>
      <c r="G61" s="5" t="n">
        <f aca="false">IFERROR(IF(OR(B61&lt;=0,D61&lt;=0,B61="",D61=""),"",(D61/B61)^(1/2)-1),"")</f>
        <v>0.360803334169091</v>
      </c>
    </row>
    <row r="62" customFormat="false" ht="15" hidden="false" customHeight="true" outlineLevel="0" collapsed="false">
      <c r="A62" s="3" t="s">
        <v>67</v>
      </c>
      <c r="B62" s="4" t="n">
        <v>2.42</v>
      </c>
      <c r="C62" s="4" t="n">
        <v>2.84</v>
      </c>
      <c r="D62" s="4" t="n">
        <v>3.52</v>
      </c>
      <c r="E62" s="5" t="n">
        <f aca="false">IFERROR(IF(OR(B62=0,B62="",C62=""),"",(C62-B62)/ABS(B62)),"")</f>
        <v>0.173553719008264</v>
      </c>
      <c r="F62" s="5" t="n">
        <f aca="false">IFERROR(IF(OR(C62=0,C62="",D62=""),"",(D62-C62)/ABS(C62)),"")</f>
        <v>0.23943661971831</v>
      </c>
      <c r="G62" s="5" t="n">
        <f aca="false">IFERROR(IF(OR(B62&lt;=0,D62&lt;=0,B62="",D62=""),"",(D62/B62)^(1/2)-1),"")</f>
        <v>0.206045378311055</v>
      </c>
    </row>
    <row r="63" customFormat="false" ht="15" hidden="false" customHeight="true" outlineLevel="0" collapsed="false">
      <c r="A63" s="3" t="s">
        <v>68</v>
      </c>
      <c r="B63" s="4" t="n">
        <v>17.93</v>
      </c>
      <c r="C63" s="4" t="n">
        <v>22.94</v>
      </c>
      <c r="D63" s="4" t="n">
        <v>28.75</v>
      </c>
      <c r="E63" s="5" t="n">
        <f aca="false">IFERROR(IF(OR(B63=0,B63="",C63=""),"",(C63-B63)/ABS(B63)),"")</f>
        <v>0.279419966536531</v>
      </c>
      <c r="F63" s="5" t="n">
        <f aca="false">IFERROR(IF(OR(C63=0,C63="",D63=""),"",(D63-C63)/ABS(C63)),"")</f>
        <v>0.253269398430689</v>
      </c>
      <c r="G63" s="5" t="n">
        <f aca="false">IFERROR(IF(OR(B63&lt;=0,D63&lt;=0,B63="",D63=""),"",(D63/B63)^(1/2)-1),"")</f>
        <v>0.266277178109694</v>
      </c>
    </row>
    <row r="64" customFormat="false" ht="15" hidden="false" customHeight="true" outlineLevel="0" collapsed="false">
      <c r="A64" s="3" t="s">
        <v>69</v>
      </c>
      <c r="B64" s="4" t="n">
        <v>7.47</v>
      </c>
      <c r="C64" s="4" t="n">
        <v>8.31</v>
      </c>
      <c r="D64" s="4" t="n">
        <v>9.38</v>
      </c>
      <c r="E64" s="5" t="n">
        <f aca="false">IFERROR(IF(OR(B64=0,B64="",C64=""),"",(C64-B64)/ABS(B64)),"")</f>
        <v>0.112449799196787</v>
      </c>
      <c r="F64" s="5" t="n">
        <f aca="false">IFERROR(IF(OR(C64=0,C64="",D64=""),"",(D64-C64)/ABS(C64)),"")</f>
        <v>0.128760529482551</v>
      </c>
      <c r="G64" s="5" t="n">
        <f aca="false">IFERROR(IF(OR(B64&lt;=0,D64&lt;=0,B64="",D64=""),"",(D64/B64)^(1/2)-1),"")</f>
        <v>0.120575488025739</v>
      </c>
    </row>
    <row r="65" customFormat="false" ht="15" hidden="false" customHeight="true" outlineLevel="0" collapsed="false">
      <c r="A65" s="3" t="s">
        <v>70</v>
      </c>
      <c r="B65" s="4" t="n">
        <v>13.15</v>
      </c>
      <c r="C65" s="4" t="n">
        <v>14.94</v>
      </c>
      <c r="D65" s="4" t="n">
        <v>17.27</v>
      </c>
      <c r="E65" s="5" t="n">
        <f aca="false">IFERROR(IF(OR(B65=0,B65="",C65=""),"",(C65-B65)/ABS(B65)),"")</f>
        <v>0.136121673003802</v>
      </c>
      <c r="F65" s="5" t="n">
        <f aca="false">IFERROR(IF(OR(C65=0,C65="",D65=""),"",(D65-C65)/ABS(C65)),"")</f>
        <v>0.155957161981258</v>
      </c>
      <c r="G65" s="5" t="n">
        <f aca="false">IFERROR(IF(OR(B65&lt;=0,D65&lt;=0,B65="",D65=""),"",(D65/B65)^(1/2)-1),"")</f>
        <v>0.145996502957524</v>
      </c>
    </row>
    <row r="66" customFormat="false" ht="15" hidden="false" customHeight="true" outlineLevel="0" collapsed="false">
      <c r="A66" s="3" t="s">
        <v>71</v>
      </c>
      <c r="B66" s="4" t="n">
        <v>6.82</v>
      </c>
      <c r="C66" s="4" t="n">
        <v>7.49</v>
      </c>
      <c r="D66" s="4" t="n">
        <v>8.28</v>
      </c>
      <c r="E66" s="5" t="n">
        <f aca="false">IFERROR(IF(OR(B66=0,B66="",C66=""),"",(C66-B66)/ABS(B66)),"")</f>
        <v>0.0982404692082111</v>
      </c>
      <c r="F66" s="5" t="n">
        <f aca="false">IFERROR(IF(OR(C66=0,C66="",D66=""),"",(D66-C66)/ABS(C66)),"")</f>
        <v>0.105473965287049</v>
      </c>
      <c r="G66" s="5" t="n">
        <f aca="false">IFERROR(IF(OR(B66&lt;=0,D66&lt;=0,B66="",D66=""),"",(D66/B66)^(1/2)-1),"")</f>
        <v>0.101851281405213</v>
      </c>
    </row>
    <row r="67" customFormat="false" ht="15" hidden="false" customHeight="true" outlineLevel="0" collapsed="false">
      <c r="A67" s="3" t="s">
        <v>72</v>
      </c>
      <c r="B67" s="4" t="n">
        <v>10.76</v>
      </c>
      <c r="C67" s="4" t="n">
        <v>12.46</v>
      </c>
      <c r="D67" s="4" t="n">
        <v>13.69</v>
      </c>
      <c r="E67" s="5" t="n">
        <f aca="false">IFERROR(IF(OR(B67=0,B67="",C67=""),"",(C67-B67)/ABS(B67)),"")</f>
        <v>0.157992565055762</v>
      </c>
      <c r="F67" s="5" t="n">
        <f aca="false">IFERROR(IF(OR(C67=0,C67="",D67=""),"",(D67-C67)/ABS(C67)),"")</f>
        <v>0.0987158908507222</v>
      </c>
      <c r="G67" s="5" t="n">
        <f aca="false">IFERROR(IF(OR(B67&lt;=0,D67&lt;=0,B67="",D67=""),"",(D67/B67)^(1/2)-1),"")</f>
        <v>0.127964907571931</v>
      </c>
    </row>
    <row r="68" customFormat="false" ht="15" hidden="false" customHeight="true" outlineLevel="0" collapsed="false">
      <c r="A68" s="3" t="s">
        <v>73</v>
      </c>
      <c r="B68" s="4" t="n">
        <v>6.13</v>
      </c>
      <c r="C68" s="4" t="n">
        <v>6.76</v>
      </c>
      <c r="D68" s="4" t="n">
        <v>7.39</v>
      </c>
      <c r="E68" s="5" t="n">
        <f aca="false">IFERROR(IF(OR(B68=0,B68="",C68=""),"",(C68-B68)/ABS(B68)),"")</f>
        <v>0.102773246329527</v>
      </c>
      <c r="F68" s="5" t="n">
        <f aca="false">IFERROR(IF(OR(C68=0,C68="",D68=""),"",(D68-C68)/ABS(C68)),"")</f>
        <v>0.0931952662721893</v>
      </c>
      <c r="G68" s="5" t="n">
        <f aca="false">IFERROR(IF(OR(B68&lt;=0,D68&lt;=0,B68="",D68=""),"",(D68/B68)^(1/2)-1),"")</f>
        <v>0.0979738123739808</v>
      </c>
    </row>
    <row r="69" customFormat="false" ht="15" hidden="false" customHeight="true" outlineLevel="0" collapsed="false">
      <c r="A69" s="3" t="s">
        <v>74</v>
      </c>
      <c r="B69" s="4" t="n">
        <v>6.01</v>
      </c>
      <c r="C69" s="4" t="n">
        <v>6.54</v>
      </c>
      <c r="D69" s="4" t="n">
        <v>7.21</v>
      </c>
      <c r="E69" s="5" t="n">
        <f aca="false">IFERROR(IF(OR(B69=0,B69="",C69=""),"",(C69-B69)/ABS(B69)),"")</f>
        <v>0.0881863560732114</v>
      </c>
      <c r="F69" s="5" t="n">
        <f aca="false">IFERROR(IF(OR(C69=0,C69="",D69=""),"",(D69-C69)/ABS(C69)),"")</f>
        <v>0.102446483180428</v>
      </c>
      <c r="G69" s="5" t="n">
        <f aca="false">IFERROR(IF(OR(B69&lt;=0,D69&lt;=0,B69="",D69=""),"",(D69/B69)^(1/2)-1),"")</f>
        <v>0.0952932124768404</v>
      </c>
    </row>
    <row r="70" customFormat="false" ht="15" hidden="false" customHeight="true" outlineLevel="0" collapsed="false">
      <c r="A70" s="3" t="s">
        <v>75</v>
      </c>
      <c r="B70" s="4" t="n">
        <v>29.27</v>
      </c>
      <c r="C70" s="4" t="n">
        <v>32.43</v>
      </c>
      <c r="D70" s="4" t="n">
        <v>37.07</v>
      </c>
      <c r="E70" s="5" t="n">
        <f aca="false">IFERROR(IF(OR(B70=0,B70="",C70=""),"",(C70-B70)/ABS(B70)),"")</f>
        <v>0.107960368978476</v>
      </c>
      <c r="F70" s="5" t="n">
        <f aca="false">IFERROR(IF(OR(C70=0,C70="",D70=""),"",(D70-C70)/ABS(C70)),"")</f>
        <v>0.143077397471477</v>
      </c>
      <c r="G70" s="5" t="n">
        <f aca="false">IFERROR(IF(OR(B70&lt;=0,D70&lt;=0,B70="",D70=""),"",(D70/B70)^(1/2)-1),"")</f>
        <v>0.125381915206324</v>
      </c>
    </row>
    <row r="71" customFormat="false" ht="15" hidden="false" customHeight="true" outlineLevel="0" collapsed="false">
      <c r="A71" s="3" t="s">
        <v>76</v>
      </c>
      <c r="B71" s="4" t="n">
        <v>17.21</v>
      </c>
      <c r="C71" s="4" t="n">
        <v>18.81</v>
      </c>
      <c r="D71" s="4"/>
      <c r="E71" s="5" t="n">
        <f aca="false">IFERROR(IF(OR(B71=0,B71="",C71=""),"",(C71-B71)/ABS(B71)),"")</f>
        <v>0.092969203951191</v>
      </c>
      <c r="F71" s="5" t="str">
        <f aca="false">IFERROR(IF(OR(C71=0,C71="",D71=""),"",(D71-C71)/ABS(C71)),"")</f>
        <v/>
      </c>
      <c r="G71" s="5" t="str">
        <f aca="false">IFERROR(IF(OR(B71&lt;=0,D71&lt;=0,B71="",D71=""),"",(D71/B71)^(1/2)-1),"")</f>
        <v/>
      </c>
    </row>
    <row r="72" customFormat="false" ht="15" hidden="false" customHeight="true" outlineLevel="0" collapsed="false">
      <c r="A72" s="3" t="s">
        <v>77</v>
      </c>
      <c r="B72" s="4" t="n">
        <v>13.34</v>
      </c>
      <c r="C72" s="4" t="n">
        <v>15.7</v>
      </c>
      <c r="D72" s="4" t="n">
        <v>17.95</v>
      </c>
      <c r="E72" s="5" t="n">
        <f aca="false">IFERROR(IF(OR(B72=0,B72="",C72=""),"",(C72-B72)/ABS(B72)),"")</f>
        <v>0.176911544227886</v>
      </c>
      <c r="F72" s="5" t="n">
        <f aca="false">IFERROR(IF(OR(C72=0,C72="",D72=""),"",(D72-C72)/ABS(C72)),"")</f>
        <v>0.143312101910828</v>
      </c>
      <c r="G72" s="5" t="n">
        <f aca="false">IFERROR(IF(OR(B72&lt;=0,D72&lt;=0,B72="",D72=""),"",(D72/B72)^(1/2)-1),"")</f>
        <v>0.159990177283542</v>
      </c>
    </row>
    <row r="73" customFormat="false" ht="15" hidden="false" customHeight="true" outlineLevel="0" collapsed="false">
      <c r="A73" s="3" t="s">
        <v>78</v>
      </c>
      <c r="B73" s="4" t="n">
        <v>1.63</v>
      </c>
      <c r="C73" s="4" t="n">
        <v>1.83</v>
      </c>
      <c r="D73" s="4" t="n">
        <v>2.08</v>
      </c>
      <c r="E73" s="5" t="n">
        <f aca="false">IFERROR(IF(OR(B73=0,B73="",C73=""),"",(C73-B73)/ABS(B73)),"")</f>
        <v>0.122699386503068</v>
      </c>
      <c r="F73" s="5" t="n">
        <f aca="false">IFERROR(IF(OR(C73=0,C73="",D73=""),"",(D73-C73)/ABS(C73)),"")</f>
        <v>0.136612021857923</v>
      </c>
      <c r="G73" s="5" t="n">
        <f aca="false">IFERROR(IF(OR(B73&lt;=0,D73&lt;=0,B73="",D73=""),"",(D73/B73)^(1/2)-1),"")</f>
        <v>0.129634285789831</v>
      </c>
    </row>
    <row r="74" customFormat="false" ht="15" hidden="false" customHeight="true" outlineLevel="0" collapsed="false">
      <c r="A74" s="3" t="s">
        <v>79</v>
      </c>
      <c r="B74" s="4" t="n">
        <v>43.2</v>
      </c>
      <c r="C74" s="4" t="n">
        <v>54.16</v>
      </c>
      <c r="D74" s="4" t="n">
        <v>65.42</v>
      </c>
      <c r="E74" s="5" t="n">
        <f aca="false">IFERROR(IF(OR(B74=0,B74="",C74=""),"",(C74-B74)/ABS(B74)),"")</f>
        <v>0.253703703703704</v>
      </c>
      <c r="F74" s="5" t="n">
        <f aca="false">IFERROR(IF(OR(C74=0,C74="",D74=""),"",(D74-C74)/ABS(C74)),"")</f>
        <v>0.207902511078287</v>
      </c>
      <c r="G74" s="5" t="n">
        <f aca="false">IFERROR(IF(OR(B74&lt;=0,D74&lt;=0,B74="",D74=""),"",(D74/B74)^(1/2)-1),"")</f>
        <v>0.230590042155328</v>
      </c>
    </row>
    <row r="75" customFormat="false" ht="15" hidden="false" customHeight="true" outlineLevel="0" collapsed="false">
      <c r="A75" s="3" t="s">
        <v>80</v>
      </c>
      <c r="B75" s="4" t="n">
        <v>43.03</v>
      </c>
      <c r="C75" s="4" t="n">
        <v>52.39</v>
      </c>
      <c r="D75" s="4" t="n">
        <v>57.02</v>
      </c>
      <c r="E75" s="5" t="n">
        <f aca="false">IFERROR(IF(OR(B75=0,B75="",C75=""),"",(C75-B75)/ABS(B75)),"")</f>
        <v>0.217522658610272</v>
      </c>
      <c r="F75" s="5" t="n">
        <f aca="false">IFERROR(IF(OR(C75=0,C75="",D75=""),"",(D75-C75)/ABS(C75)),"")</f>
        <v>0.0883756442069098</v>
      </c>
      <c r="G75" s="5" t="n">
        <f aca="false">IFERROR(IF(OR(B75&lt;=0,D75&lt;=0,B75="",D75=""),"",(D75/B75)^(1/2)-1),"")</f>
        <v>0.151139438947977</v>
      </c>
    </row>
    <row r="76" customFormat="false" ht="15" hidden="false" customHeight="true" outlineLevel="0" collapsed="false">
      <c r="A76" s="3" t="s">
        <v>81</v>
      </c>
      <c r="B76" s="4" t="n">
        <v>4.5</v>
      </c>
      <c r="C76" s="4" t="n">
        <v>6.79</v>
      </c>
      <c r="D76" s="4" t="n">
        <v>10.63</v>
      </c>
      <c r="E76" s="5" t="n">
        <f aca="false">IFERROR(IF(OR(B76=0,B76="",C76=""),"",(C76-B76)/ABS(B76)),"")</f>
        <v>0.508888888888889</v>
      </c>
      <c r="F76" s="5" t="n">
        <f aca="false">IFERROR(IF(OR(C76=0,C76="",D76=""),"",(D76-C76)/ABS(C76)),"")</f>
        <v>0.565537555228277</v>
      </c>
      <c r="G76" s="5" t="n">
        <f aca="false">IFERROR(IF(OR(B76&lt;=0,D76&lt;=0,B76="",D76=""),"",(D76/B76)^(1/2)-1),"")</f>
        <v>0.536952251119801</v>
      </c>
    </row>
    <row r="77" customFormat="false" ht="15" hidden="false" customHeight="true" outlineLevel="0" collapsed="false">
      <c r="A77" s="3" t="s">
        <v>82</v>
      </c>
      <c r="B77" s="4" t="n">
        <v>13.81</v>
      </c>
      <c r="C77" s="4" t="n">
        <v>17.27</v>
      </c>
      <c r="D77" s="4" t="n">
        <v>21.25</v>
      </c>
      <c r="E77" s="5" t="n">
        <f aca="false">IFERROR(IF(OR(B77=0,B77="",C77=""),"",(C77-B77)/ABS(B77)),"")</f>
        <v>0.250543084721216</v>
      </c>
      <c r="F77" s="5" t="n">
        <f aca="false">IFERROR(IF(OR(C77=0,C77="",D77=""),"",(D77-C77)/ABS(C77)),"")</f>
        <v>0.230457440648523</v>
      </c>
      <c r="G77" s="5" t="n">
        <f aca="false">IFERROR(IF(OR(B77&lt;=0,D77&lt;=0,B77="",D77=""),"",(D77/B77)^(1/2)-1),"")</f>
        <v>0.240459609760341</v>
      </c>
    </row>
    <row r="78" customFormat="false" ht="15" hidden="false" customHeight="true" outlineLevel="0" collapsed="false">
      <c r="A78" s="3" t="s">
        <v>83</v>
      </c>
      <c r="B78" s="4" t="n">
        <v>2.44</v>
      </c>
      <c r="C78" s="4" t="n">
        <v>2.72</v>
      </c>
      <c r="D78" s="4" t="n">
        <v>2.89</v>
      </c>
      <c r="E78" s="5" t="n">
        <f aca="false">IFERROR(IF(OR(B78=0,B78="",C78=""),"",(C78-B78)/ABS(B78)),"")</f>
        <v>0.114754098360656</v>
      </c>
      <c r="F78" s="5" t="n">
        <f aca="false">IFERROR(IF(OR(C78=0,C78="",D78=""),"",(D78-C78)/ABS(C78)),"")</f>
        <v>0.0625</v>
      </c>
      <c r="G78" s="5" t="n">
        <f aca="false">IFERROR(IF(OR(B78&lt;=0,D78&lt;=0,B78="",D78=""),"",(D78/B78)^(1/2)-1),"")</f>
        <v>0.0883134794296159</v>
      </c>
    </row>
    <row r="79" customFormat="false" ht="15" hidden="false" customHeight="true" outlineLevel="0" collapsed="false">
      <c r="A79" s="3" t="s">
        <v>84</v>
      </c>
      <c r="B79" s="4" t="n">
        <v>3.16</v>
      </c>
      <c r="C79" s="4" t="n">
        <v>3.43</v>
      </c>
      <c r="D79" s="4" t="n">
        <v>3.84</v>
      </c>
      <c r="E79" s="5" t="n">
        <f aca="false">IFERROR(IF(OR(B79=0,B79="",C79=""),"",(C79-B79)/ABS(B79)),"")</f>
        <v>0.0854430379746835</v>
      </c>
      <c r="F79" s="5" t="n">
        <f aca="false">IFERROR(IF(OR(C79=0,C79="",D79=""),"",(D79-C79)/ABS(C79)),"")</f>
        <v>0.119533527696793</v>
      </c>
      <c r="G79" s="5" t="n">
        <f aca="false">IFERROR(IF(OR(B79&lt;=0,D79&lt;=0,B79="",D79=""),"",(D79/B79)^(1/2)-1),"")</f>
        <v>0.102356509219101</v>
      </c>
    </row>
    <row r="80" customFormat="false" ht="15" hidden="false" customHeight="true" outlineLevel="0" collapsed="false">
      <c r="A80" s="3" t="s">
        <v>85</v>
      </c>
      <c r="B80" s="4" t="n">
        <v>7.56</v>
      </c>
      <c r="C80" s="4" t="n">
        <v>8.68</v>
      </c>
      <c r="D80" s="4" t="n">
        <v>9.83</v>
      </c>
      <c r="E80" s="5" t="n">
        <f aca="false">IFERROR(IF(OR(B80=0,B80="",C80=""),"",(C80-B80)/ABS(B80)),"")</f>
        <v>0.148148148148148</v>
      </c>
      <c r="F80" s="5" t="n">
        <f aca="false">IFERROR(IF(OR(C80=0,C80="",D80=""),"",(D80-C80)/ABS(C80)),"")</f>
        <v>0.132488479262673</v>
      </c>
      <c r="G80" s="5" t="n">
        <f aca="false">IFERROR(IF(OR(B80&lt;=0,D80&lt;=0,B80="",D80=""),"",(D80/B80)^(1/2)-1),"")</f>
        <v>0.14029143216309</v>
      </c>
    </row>
    <row r="81" customFormat="false" ht="15" hidden="false" customHeight="true" outlineLevel="0" collapsed="false">
      <c r="A81" s="3" t="s">
        <v>86</v>
      </c>
      <c r="B81" s="4" t="n">
        <v>15.24</v>
      </c>
      <c r="C81" s="4" t="n">
        <v>24.51</v>
      </c>
      <c r="D81" s="4" t="n">
        <v>34.71</v>
      </c>
      <c r="E81" s="5" t="n">
        <f aca="false">IFERROR(IF(OR(B81=0,B81="",C81=""),"",(C81-B81)/ABS(B81)),"")</f>
        <v>0.608267716535433</v>
      </c>
      <c r="F81" s="5" t="n">
        <f aca="false">IFERROR(IF(OR(C81=0,C81="",D81=""),"",(D81-C81)/ABS(C81)),"")</f>
        <v>0.416156670746634</v>
      </c>
      <c r="G81" s="5" t="n">
        <f aca="false">IFERROR(IF(OR(B81&lt;=0,D81&lt;=0,B81="",D81=""),"",(D81/B81)^(1/2)-1),"")</f>
        <v>0.509158392985345</v>
      </c>
    </row>
    <row r="82" customFormat="false" ht="15" hidden="false" customHeight="true" outlineLevel="0" collapsed="false">
      <c r="A82" s="3" t="s">
        <v>87</v>
      </c>
      <c r="B82" s="4" t="n">
        <v>1.91</v>
      </c>
      <c r="C82" s="4" t="n">
        <v>2.51</v>
      </c>
      <c r="D82" s="4" t="n">
        <v>3.31</v>
      </c>
      <c r="E82" s="5" t="n">
        <f aca="false">IFERROR(IF(OR(B82=0,B82="",C82=""),"",(C82-B82)/ABS(B82)),"")</f>
        <v>0.31413612565445</v>
      </c>
      <c r="F82" s="5" t="n">
        <f aca="false">IFERROR(IF(OR(C82=0,C82="",D82=""),"",(D82-C82)/ABS(C82)),"")</f>
        <v>0.318725099601594</v>
      </c>
      <c r="G82" s="5" t="n">
        <f aca="false">IFERROR(IF(OR(B82&lt;=0,D82&lt;=0,B82="",D82=""),"",(D82/B82)^(1/2)-1),"")</f>
        <v>0.316428613026061</v>
      </c>
    </row>
    <row r="83" customFormat="false" ht="15" hidden="false" customHeight="true" outlineLevel="0" collapsed="false">
      <c r="A83" s="3" t="s">
        <v>88</v>
      </c>
      <c r="B83" s="4" t="n">
        <v>1.37</v>
      </c>
      <c r="C83" s="4" t="n">
        <v>1.99</v>
      </c>
      <c r="D83" s="4" t="n">
        <v>2.35</v>
      </c>
      <c r="E83" s="5" t="n">
        <f aca="false">IFERROR(IF(OR(B83=0,B83="",C83=""),"",(C83-B83)/ABS(B83)),"")</f>
        <v>0.452554744525547</v>
      </c>
      <c r="F83" s="5" t="n">
        <f aca="false">IFERROR(IF(OR(C83=0,C83="",D83=""),"",(D83-C83)/ABS(C83)),"")</f>
        <v>0.180904522613065</v>
      </c>
      <c r="G83" s="5" t="n">
        <f aca="false">IFERROR(IF(OR(B83&lt;=0,D83&lt;=0,B83="",D83=""),"",(D83/B83)^(1/2)-1),"")</f>
        <v>0.309705488708544</v>
      </c>
    </row>
    <row r="84" customFormat="false" ht="15" hidden="false" customHeight="true" outlineLevel="0" collapsed="false">
      <c r="A84" s="3" t="s">
        <v>89</v>
      </c>
      <c r="B84" s="4" t="n">
        <v>-0.8</v>
      </c>
      <c r="C84" s="4" t="n">
        <v>9.59</v>
      </c>
      <c r="D84" s="4" t="n">
        <v>10.37</v>
      </c>
      <c r="E84" s="5" t="n">
        <f aca="false">IFERROR(IF(OR(B84=0,B84="",C84=""),"",(C84-B84)/ABS(B84)),"")</f>
        <v>12.9875</v>
      </c>
      <c r="F84" s="5" t="n">
        <f aca="false">IFERROR(IF(OR(C84=0,C84="",D84=""),"",(D84-C84)/ABS(C84)),"")</f>
        <v>0.08133472367049</v>
      </c>
      <c r="G84" s="5" t="str">
        <f aca="false">IFERROR(IF(OR(B84&lt;=0,D84&lt;=0,B84="",D84=""),"",(D84/B84)^(1/2)-1),"")</f>
        <v/>
      </c>
    </row>
    <row r="85" customFormat="false" ht="15" hidden="false" customHeight="true" outlineLevel="0" collapsed="false">
      <c r="A85" s="3" t="s">
        <v>90</v>
      </c>
      <c r="B85" s="4" t="n">
        <v>3.2</v>
      </c>
      <c r="C85" s="4" t="n">
        <v>4.22</v>
      </c>
      <c r="D85" s="4" t="n">
        <v>5.53</v>
      </c>
      <c r="E85" s="5" t="n">
        <f aca="false">IFERROR(IF(OR(B85=0,B85="",C85=""),"",(C85-B85)/ABS(B85)),"")</f>
        <v>0.31875</v>
      </c>
      <c r="F85" s="5" t="n">
        <f aca="false">IFERROR(IF(OR(C85=0,C85="",D85=""),"",(D85-C85)/ABS(C85)),"")</f>
        <v>0.31042654028436</v>
      </c>
      <c r="G85" s="5" t="n">
        <f aca="false">IFERROR(IF(OR(B85&lt;=0,D85&lt;=0,B85="",D85=""),"",(D85/B85)^(1/2)-1),"")</f>
        <v>0.314581682513491</v>
      </c>
    </row>
    <row r="86" customFormat="false" ht="15" hidden="false" customHeight="true" outlineLevel="0" collapsed="false">
      <c r="A86" s="3" t="s">
        <v>91</v>
      </c>
      <c r="B86" s="4" t="n">
        <v>12.85</v>
      </c>
      <c r="C86" s="4" t="n">
        <v>14.04</v>
      </c>
      <c r="D86" s="4" t="n">
        <v>14.73</v>
      </c>
      <c r="E86" s="5" t="n">
        <f aca="false">IFERROR(IF(OR(B86=0,B86="",C86=""),"",(C86-B86)/ABS(B86)),"")</f>
        <v>0.0926070038910506</v>
      </c>
      <c r="F86" s="5" t="n">
        <f aca="false">IFERROR(IF(OR(C86=0,C86="",D86=""),"",(D86-C86)/ABS(C86)),"")</f>
        <v>0.0491452991452992</v>
      </c>
      <c r="G86" s="5" t="n">
        <f aca="false">IFERROR(IF(OR(B86&lt;=0,D86&lt;=0,B86="",D86=""),"",(D86/B86)^(1/2)-1),"")</f>
        <v>0.0706556411589701</v>
      </c>
    </row>
    <row r="87" customFormat="false" ht="15" hidden="false" customHeight="true" outlineLevel="0" collapsed="false">
      <c r="A87" s="3" t="s">
        <v>92</v>
      </c>
      <c r="B87" s="4" t="n">
        <v>14.24</v>
      </c>
      <c r="C87" s="4" t="n">
        <v>14.49</v>
      </c>
      <c r="D87" s="4" t="n">
        <v>17.07</v>
      </c>
      <c r="E87" s="5" t="n">
        <f aca="false">IFERROR(IF(OR(B87=0,B87="",C87=""),"",(C87-B87)/ABS(B87)),"")</f>
        <v>0.0175561797752809</v>
      </c>
      <c r="F87" s="5" t="n">
        <f aca="false">IFERROR(IF(OR(C87=0,C87="",D87=""),"",(D87-C87)/ABS(C87)),"")</f>
        <v>0.178053830227743</v>
      </c>
      <c r="G87" s="5" t="n">
        <f aca="false">IFERROR(IF(OR(B87&lt;=0,D87&lt;=0,B87="",D87=""),"",(D87/B87)^(1/2)-1),"")</f>
        <v>0.0948680080521942</v>
      </c>
    </row>
    <row r="88" customFormat="false" ht="15" hidden="false" customHeight="true" outlineLevel="0" collapsed="false">
      <c r="A88" s="3" t="s">
        <v>93</v>
      </c>
      <c r="B88" s="4" t="n">
        <v>0.09</v>
      </c>
      <c r="C88" s="4" t="n">
        <v>0.14</v>
      </c>
      <c r="D88" s="4" t="n">
        <v>0.2</v>
      </c>
      <c r="E88" s="5" t="n">
        <f aca="false">IFERROR(IF(OR(B88=0,B88="",C88=""),"",(C88-B88)/ABS(B88)),"")</f>
        <v>0.555555555555556</v>
      </c>
      <c r="F88" s="5" t="n">
        <f aca="false">IFERROR(IF(OR(C88=0,C88="",D88=""),"",(D88-C88)/ABS(C88)),"")</f>
        <v>0.428571428571429</v>
      </c>
      <c r="G88" s="5" t="n">
        <f aca="false">IFERROR(IF(OR(B88&lt;=0,D88&lt;=0,B88="",D88=""),"",(D88/B88)^(1/2)-1),"")</f>
        <v>0.49071198499986</v>
      </c>
    </row>
    <row r="89" customFormat="false" ht="15" hidden="false" customHeight="true" outlineLevel="0" collapsed="false">
      <c r="A89" s="3" t="s">
        <v>94</v>
      </c>
      <c r="B89" s="4" t="n">
        <v>9.58</v>
      </c>
      <c r="C89" s="4" t="n">
        <v>10.32</v>
      </c>
      <c r="D89" s="4" t="n">
        <v>11.69</v>
      </c>
      <c r="E89" s="5" t="n">
        <f aca="false">IFERROR(IF(OR(B89=0,B89="",C89=""),"",(C89-B89)/ABS(B89)),"")</f>
        <v>0.0772442588726514</v>
      </c>
      <c r="F89" s="5" t="n">
        <f aca="false">IFERROR(IF(OR(C89=0,C89="",D89=""),"",(D89-C89)/ABS(C89)),"")</f>
        <v>0.132751937984496</v>
      </c>
      <c r="G89" s="5" t="n">
        <f aca="false">IFERROR(IF(OR(B89&lt;=0,D89&lt;=0,B89="",D89=""),"",(D89/B89)^(1/2)-1),"")</f>
        <v>0.104649501842403</v>
      </c>
    </row>
    <row r="90" customFormat="false" ht="15" hidden="false" customHeight="true" outlineLevel="0" collapsed="false">
      <c r="A90" s="3" t="s">
        <v>95</v>
      </c>
      <c r="B90" s="4" t="n">
        <v>59.18</v>
      </c>
      <c r="C90" s="4" t="n">
        <v>65.39</v>
      </c>
      <c r="D90" s="4" t="n">
        <v>70.6</v>
      </c>
      <c r="E90" s="5" t="n">
        <f aca="false">IFERROR(IF(OR(B90=0,B90="",C90=""),"",(C90-B90)/ABS(B90)),"")</f>
        <v>0.104934099357891</v>
      </c>
      <c r="F90" s="5" t="n">
        <f aca="false">IFERROR(IF(OR(C90=0,C90="",D90=""),"",(D90-C90)/ABS(C90)),"")</f>
        <v>0.0796757914054136</v>
      </c>
      <c r="G90" s="5" t="n">
        <f aca="false">IFERROR(IF(OR(B90&lt;=0,D90&lt;=0,B90="",D90=""),"",(D90/B90)^(1/2)-1),"")</f>
        <v>0.0922319342406444</v>
      </c>
    </row>
    <row r="91" customFormat="false" ht="15" hidden="false" customHeight="true" outlineLevel="0" collapsed="false">
      <c r="A91" s="3" t="s">
        <v>96</v>
      </c>
      <c r="B91" s="4" t="n">
        <v>3.5</v>
      </c>
      <c r="C91" s="4" t="n">
        <v>4.72</v>
      </c>
      <c r="D91" s="4" t="n">
        <v>5.92</v>
      </c>
      <c r="E91" s="5" t="n">
        <f aca="false">IFERROR(IF(OR(B91=0,B91="",C91=""),"",(C91-B91)/ABS(B91)),"")</f>
        <v>0.348571428571429</v>
      </c>
      <c r="F91" s="5" t="n">
        <f aca="false">IFERROR(IF(OR(C91=0,C91="",D91=""),"",(D91-C91)/ABS(C91)),"")</f>
        <v>0.254237288135593</v>
      </c>
      <c r="G91" s="5" t="n">
        <f aca="false">IFERROR(IF(OR(B91&lt;=0,D91&lt;=0,B91="",D91=""),"",(D91/B91)^(1/2)-1),"")</f>
        <v>0.300549334484691</v>
      </c>
    </row>
    <row r="92" customFormat="false" ht="15" hidden="false" customHeight="true" outlineLevel="0" collapsed="false">
      <c r="A92" s="3" t="s">
        <v>97</v>
      </c>
      <c r="B92" s="4" t="n">
        <v>14.97</v>
      </c>
      <c r="C92" s="4" t="n">
        <v>16.11</v>
      </c>
      <c r="D92" s="4" t="n">
        <v>17.6</v>
      </c>
      <c r="E92" s="5" t="n">
        <f aca="false">IFERROR(IF(OR(B92=0,B92="",C92=""),"",(C92-B92)/ABS(B92)),"")</f>
        <v>0.0761523046092184</v>
      </c>
      <c r="F92" s="5" t="n">
        <f aca="false">IFERROR(IF(OR(C92=0,C92="",D92=""),"",(D92-C92)/ABS(C92)),"")</f>
        <v>0.0924891371818747</v>
      </c>
      <c r="G92" s="5" t="n">
        <f aca="false">IFERROR(IF(OR(B92&lt;=0,D92&lt;=0,B92="",D92=""),"",(D92/B92)^(1/2)-1),"")</f>
        <v>0.0842899532591876</v>
      </c>
    </row>
    <row r="93" customFormat="false" ht="15" hidden="false" customHeight="true" outlineLevel="0" collapsed="false">
      <c r="A93" s="3" t="s">
        <v>98</v>
      </c>
      <c r="B93" s="4" t="n">
        <v>9.02</v>
      </c>
      <c r="C93" s="4" t="n">
        <v>10.42</v>
      </c>
      <c r="D93" s="4" t="n">
        <v>12.02</v>
      </c>
      <c r="E93" s="5" t="n">
        <f aca="false">IFERROR(IF(OR(B93=0,B93="",C93=""),"",(C93-B93)/ABS(B93)),"")</f>
        <v>0.155210643015521</v>
      </c>
      <c r="F93" s="5" t="n">
        <f aca="false">IFERROR(IF(OR(C93=0,C93="",D93=""),"",(D93-C93)/ABS(C93)),"")</f>
        <v>0.153550863723608</v>
      </c>
      <c r="G93" s="5" t="n">
        <f aca="false">IFERROR(IF(OR(B93&lt;=0,D93&lt;=0,B93="",D93=""),"",(D93/B93)^(1/2)-1),"")</f>
        <v>0.15438045506378</v>
      </c>
    </row>
    <row r="94" customFormat="false" ht="15" hidden="false" customHeight="true" outlineLevel="0" collapsed="false">
      <c r="A94" s="3" t="s">
        <v>99</v>
      </c>
      <c r="B94" s="4" t="n">
        <v>10.52</v>
      </c>
      <c r="C94" s="4" t="n">
        <v>11.46</v>
      </c>
      <c r="D94" s="4" t="n">
        <v>12.52</v>
      </c>
      <c r="E94" s="5" t="n">
        <f aca="false">IFERROR(IF(OR(B94=0,B94="",C94=""),"",(C94-B94)/ABS(B94)),"")</f>
        <v>0.0893536121673005</v>
      </c>
      <c r="F94" s="5" t="n">
        <f aca="false">IFERROR(IF(OR(C94=0,C94="",D94=""),"",(D94-C94)/ABS(C94)),"")</f>
        <v>0.0924956369982547</v>
      </c>
      <c r="G94" s="5" t="n">
        <f aca="false">IFERROR(IF(OR(B94&lt;=0,D94&lt;=0,B94="",D94=""),"",(D94/B94)^(1/2)-1),"")</f>
        <v>0.0909234933949605</v>
      </c>
    </row>
    <row r="95" customFormat="false" ht="15" hidden="false" customHeight="true" outlineLevel="0" collapsed="false">
      <c r="A95" s="3" t="s">
        <v>100</v>
      </c>
      <c r="B95" s="4" t="n">
        <v>2.14</v>
      </c>
      <c r="C95" s="4" t="n">
        <v>2.73</v>
      </c>
      <c r="D95" s="4" t="n">
        <v>3.33</v>
      </c>
      <c r="E95" s="5" t="n">
        <f aca="false">IFERROR(IF(OR(B95=0,B95="",C95=""),"",(C95-B95)/ABS(B95)),"")</f>
        <v>0.275700934579439</v>
      </c>
      <c r="F95" s="5" t="n">
        <f aca="false">IFERROR(IF(OR(C95=0,C95="",D95=""),"",(D95-C95)/ABS(C95)),"")</f>
        <v>0.21978021978022</v>
      </c>
      <c r="G95" s="5" t="n">
        <f aca="false">IFERROR(IF(OR(B95&lt;=0,D95&lt;=0,B95="",D95=""),"",(D95/B95)^(1/2)-1),"")</f>
        <v>0.247427258943439</v>
      </c>
    </row>
    <row r="96" customFormat="false" ht="15" hidden="false" customHeight="true" outlineLevel="0" collapsed="false">
      <c r="A96" s="3" t="s">
        <v>101</v>
      </c>
      <c r="B96" s="4" t="n">
        <v>2.42</v>
      </c>
      <c r="C96" s="4" t="n">
        <v>2.73</v>
      </c>
      <c r="D96" s="4" t="n">
        <v>3.06</v>
      </c>
      <c r="E96" s="5" t="n">
        <f aca="false">IFERROR(IF(OR(B96=0,B96="",C96=""),"",(C96-B96)/ABS(B96)),"")</f>
        <v>0.128099173553719</v>
      </c>
      <c r="F96" s="5" t="n">
        <f aca="false">IFERROR(IF(OR(C96=0,C96="",D96=""),"",(D96-C96)/ABS(C96)),"")</f>
        <v>0.120879120879121</v>
      </c>
      <c r="G96" s="5" t="n">
        <f aca="false">IFERROR(IF(OR(B96&lt;=0,D96&lt;=0,B96="",D96=""),"",(D96/B96)^(1/2)-1),"")</f>
        <v>0.12448335244118</v>
      </c>
    </row>
    <row r="97" customFormat="false" ht="15" hidden="false" customHeight="true" outlineLevel="0" collapsed="false">
      <c r="A97" s="3" t="s">
        <v>102</v>
      </c>
      <c r="B97" s="4" t="n">
        <v>19.79</v>
      </c>
      <c r="C97" s="4" t="n">
        <v>21.78</v>
      </c>
      <c r="D97" s="4" t="n">
        <v>23.65</v>
      </c>
      <c r="E97" s="5" t="n">
        <f aca="false">IFERROR(IF(OR(B97=0,B97="",C97=""),"",(C97-B97)/ABS(B97)),"")</f>
        <v>0.10055583628095</v>
      </c>
      <c r="F97" s="5" t="n">
        <f aca="false">IFERROR(IF(OR(C97=0,C97="",D97=""),"",(D97-C97)/ABS(C97)),"")</f>
        <v>0.0858585858585857</v>
      </c>
      <c r="G97" s="5" t="n">
        <f aca="false">IFERROR(IF(OR(B97&lt;=0,D97&lt;=0,B97="",D97=""),"",(D97/B97)^(1/2)-1),"")</f>
        <v>0.0931825117712255</v>
      </c>
    </row>
    <row r="98" customFormat="false" ht="15" hidden="false" customHeight="true" outlineLevel="0" collapsed="false">
      <c r="A98" s="3" t="s">
        <v>103</v>
      </c>
      <c r="B98" s="4" t="n">
        <v>13.12</v>
      </c>
      <c r="C98" s="4" t="n">
        <v>15.61</v>
      </c>
      <c r="D98" s="4" t="n">
        <v>18.89</v>
      </c>
      <c r="E98" s="5" t="n">
        <f aca="false">IFERROR(IF(OR(B98=0,B98="",C98=""),"",(C98-B98)/ABS(B98)),"")</f>
        <v>0.189786585365854</v>
      </c>
      <c r="F98" s="5" t="n">
        <f aca="false">IFERROR(IF(OR(C98=0,C98="",D98=""),"",(D98-C98)/ABS(C98)),"")</f>
        <v>0.210121716848174</v>
      </c>
      <c r="G98" s="5" t="n">
        <f aca="false">IFERROR(IF(OR(B98&lt;=0,D98&lt;=0,B98="",D98=""),"",(D98/B98)^(1/2)-1),"")</f>
        <v>0.199911073940837</v>
      </c>
    </row>
    <row r="99" customFormat="false" ht="15" hidden="false" customHeight="true" outlineLevel="0" collapsed="false">
      <c r="A99" s="3" t="s">
        <v>104</v>
      </c>
      <c r="B99" s="4" t="n">
        <v>5.04</v>
      </c>
      <c r="C99" s="4" t="n">
        <v>5.99</v>
      </c>
      <c r="D99" s="4" t="n">
        <v>7.11</v>
      </c>
      <c r="E99" s="5" t="n">
        <f aca="false">IFERROR(IF(OR(B99=0,B99="",C99=""),"",(C99-B99)/ABS(B99)),"")</f>
        <v>0.188492063492064</v>
      </c>
      <c r="F99" s="5" t="n">
        <f aca="false">IFERROR(IF(OR(C99=0,C99="",D99=""),"",(D99-C99)/ABS(C99)),"")</f>
        <v>0.186978297161937</v>
      </c>
      <c r="G99" s="5" t="n">
        <f aca="false">IFERROR(IF(OR(B99&lt;=0,D99&lt;=0,B99="",D99=""),"",(D99/B99)^(1/2)-1),"")</f>
        <v>0.187734939165421</v>
      </c>
    </row>
    <row r="100" customFormat="false" ht="15" hidden="false" customHeight="true" outlineLevel="0" collapsed="false">
      <c r="A100" s="3" t="s">
        <v>105</v>
      </c>
      <c r="B100" s="4" t="n">
        <v>12.43</v>
      </c>
      <c r="C100" s="4" t="n">
        <v>13.45</v>
      </c>
      <c r="D100" s="4" t="n">
        <v>14.9</v>
      </c>
      <c r="E100" s="5" t="n">
        <f aca="false">IFERROR(IF(OR(B100=0,B100="",C100=""),"",(C100-B100)/ABS(B100)),"")</f>
        <v>0.082059533386967</v>
      </c>
      <c r="F100" s="5" t="n">
        <f aca="false">IFERROR(IF(OR(C100=0,C100="",D100=""),"",(D100-C100)/ABS(C100)),"")</f>
        <v>0.107806691449814</v>
      </c>
      <c r="G100" s="5" t="n">
        <f aca="false">IFERROR(IF(OR(B100&lt;=0,D100&lt;=0,B100="",D100=""),"",(D100/B100)^(1/2)-1),"")</f>
        <v>0.0948574298204976</v>
      </c>
    </row>
    <row r="101" customFormat="false" ht="15" hidden="false" customHeight="true" outlineLevel="0" collapsed="false">
      <c r="A101" s="3" t="s">
        <v>106</v>
      </c>
      <c r="B101" s="4" t="n">
        <v>1.09</v>
      </c>
      <c r="C101" s="4" t="n">
        <v>1.54</v>
      </c>
      <c r="D101" s="4" t="n">
        <v>2.24</v>
      </c>
      <c r="E101" s="5" t="n">
        <f aca="false">IFERROR(IF(OR(B101=0,B101="",C101=""),"",(C101-B101)/ABS(B101)),"")</f>
        <v>0.412844036697248</v>
      </c>
      <c r="F101" s="5" t="n">
        <f aca="false">IFERROR(IF(OR(C101=0,C101="",D101=""),"",(D101-C101)/ABS(C101)),"")</f>
        <v>0.454545454545455</v>
      </c>
      <c r="G101" s="5" t="n">
        <f aca="false">IFERROR(IF(OR(B101&lt;=0,D101&lt;=0,B101="",D101=""),"",(D101/B101)^(1/2)-1),"")</f>
        <v>0.433543118137586</v>
      </c>
    </row>
    <row r="102" customFormat="false" ht="15" hidden="false" customHeight="true" outlineLevel="0" collapsed="false">
      <c r="A102" s="3" t="s">
        <v>107</v>
      </c>
      <c r="B102" s="4" t="n">
        <v>10.41</v>
      </c>
      <c r="C102" s="4" t="n">
        <v>11.79</v>
      </c>
      <c r="D102" s="4" t="n">
        <v>13.4</v>
      </c>
      <c r="E102" s="5" t="n">
        <f aca="false">IFERROR(IF(OR(B102=0,B102="",C102=""),"",(C102-B102)/ABS(B102)),"")</f>
        <v>0.132564841498559</v>
      </c>
      <c r="F102" s="5" t="n">
        <f aca="false">IFERROR(IF(OR(C102=0,C102="",D102=""),"",(D102-C102)/ABS(C102)),"")</f>
        <v>0.136556403731976</v>
      </c>
      <c r="G102" s="5" t="n">
        <f aca="false">IFERROR(IF(OR(B102&lt;=0,D102&lt;=0,B102="",D102=""),"",(D102/B102)^(1/2)-1),"")</f>
        <v>0.134558867246155</v>
      </c>
    </row>
    <row r="103" customFormat="false" ht="15" hidden="false" customHeight="true" outlineLevel="0" collapsed="false">
      <c r="A103" s="3" t="s">
        <v>108</v>
      </c>
      <c r="B103" s="4" t="n">
        <v>7.25</v>
      </c>
      <c r="C103" s="4" t="n">
        <v>8.27</v>
      </c>
      <c r="D103" s="4" t="n">
        <v>9.34</v>
      </c>
      <c r="E103" s="5" t="n">
        <f aca="false">IFERROR(IF(OR(B103=0,B103="",C103=""),"",(C103-B103)/ABS(B103)),"")</f>
        <v>0.140689655172414</v>
      </c>
      <c r="F103" s="5" t="n">
        <f aca="false">IFERROR(IF(OR(C103=0,C103="",D103=""),"",(D103-C103)/ABS(C103)),"")</f>
        <v>0.129383313180169</v>
      </c>
      <c r="G103" s="5" t="n">
        <f aca="false">IFERROR(IF(OR(B103&lt;=0,D103&lt;=0,B103="",D103=""),"",(D103/B103)^(1/2)-1),"")</f>
        <v>0.135022405976625</v>
      </c>
    </row>
    <row r="104" customFormat="false" ht="15" hidden="false" customHeight="true" outlineLevel="0" collapsed="false">
      <c r="A104" s="3" t="s">
        <v>109</v>
      </c>
      <c r="B104" s="4" t="n">
        <v>12.36</v>
      </c>
      <c r="C104" s="4" t="n">
        <v>14.59</v>
      </c>
      <c r="D104" s="4" t="n">
        <v>16.57</v>
      </c>
      <c r="E104" s="5" t="n">
        <f aca="false">IFERROR(IF(OR(B104=0,B104="",C104=""),"",(C104-B104)/ABS(B104)),"")</f>
        <v>0.18042071197411</v>
      </c>
      <c r="F104" s="5" t="n">
        <f aca="false">IFERROR(IF(OR(C104=0,C104="",D104=""),"",(D104-C104)/ABS(C104)),"")</f>
        <v>0.135709389993146</v>
      </c>
      <c r="G104" s="5" t="n">
        <f aca="false">IFERROR(IF(OR(B104&lt;=0,D104&lt;=0,B104="",D104=""),"",(D104/B104)^(1/2)-1),"")</f>
        <v>0.157849250434352</v>
      </c>
    </row>
    <row r="105" customFormat="false" ht="15" hidden="false" customHeight="true" outlineLevel="0" collapsed="false">
      <c r="A105" s="3" t="s">
        <v>110</v>
      </c>
      <c r="B105" s="4" t="n">
        <v>4.88</v>
      </c>
      <c r="C105" s="4" t="n">
        <v>5.7</v>
      </c>
      <c r="D105" s="4" t="n">
        <v>6.48</v>
      </c>
      <c r="E105" s="5" t="n">
        <f aca="false">IFERROR(IF(OR(B105=0,B105="",C105=""),"",(C105-B105)/ABS(B105)),"")</f>
        <v>0.168032786885246</v>
      </c>
      <c r="F105" s="5" t="n">
        <f aca="false">IFERROR(IF(OR(C105=0,C105="",D105=""),"",(D105-C105)/ABS(C105)),"")</f>
        <v>0.136842105263158</v>
      </c>
      <c r="G105" s="5" t="n">
        <f aca="false">IFERROR(IF(OR(B105&lt;=0,D105&lt;=0,B105="",D105=""),"",(D105/B105)^(1/2)-1),"")</f>
        <v>0.152331919396064</v>
      </c>
    </row>
    <row r="106" customFormat="false" ht="15" hidden="false" customHeight="true" outlineLevel="0" collapsed="false">
      <c r="A106" s="3" t="s">
        <v>111</v>
      </c>
      <c r="B106" s="4" t="n">
        <v>11.58</v>
      </c>
      <c r="C106" s="4" t="n">
        <v>12.71</v>
      </c>
      <c r="D106" s="4" t="n">
        <v>13.95</v>
      </c>
      <c r="E106" s="5" t="n">
        <f aca="false">IFERROR(IF(OR(B106=0,B106="",C106=""),"",(C106-B106)/ABS(B106)),"")</f>
        <v>0.0975820379965458</v>
      </c>
      <c r="F106" s="5" t="n">
        <f aca="false">IFERROR(IF(OR(C106=0,C106="",D106=""),"",(D106-C106)/ABS(C106)),"")</f>
        <v>0.097560975609756</v>
      </c>
      <c r="G106" s="5" t="n">
        <f aca="false">IFERROR(IF(OR(B106&lt;=0,D106&lt;=0,B106="",D106=""),"",(D106/B106)^(1/2)-1),"")</f>
        <v>0.0975715067526275</v>
      </c>
    </row>
    <row r="107" customFormat="false" ht="15" hidden="false" customHeight="true" outlineLevel="0" collapsed="false">
      <c r="A107" s="3" t="s">
        <v>112</v>
      </c>
      <c r="B107" s="4" t="n">
        <v>10.19</v>
      </c>
      <c r="C107" s="4" t="n">
        <v>11.86</v>
      </c>
      <c r="D107" s="4" t="n">
        <v>13.25</v>
      </c>
      <c r="E107" s="5" t="n">
        <f aca="false">IFERROR(IF(OR(B107=0,B107="",C107=""),"",(C107-B107)/ABS(B107)),"")</f>
        <v>0.163886162904809</v>
      </c>
      <c r="F107" s="5" t="n">
        <f aca="false">IFERROR(IF(OR(C107=0,C107="",D107=""),"",(D107-C107)/ABS(C107)),"")</f>
        <v>0.117200674536256</v>
      </c>
      <c r="G107" s="5" t="n">
        <f aca="false">IFERROR(IF(OR(B107&lt;=0,D107&lt;=0,B107="",D107=""),"",(D107/B107)^(1/2)-1),"")</f>
        <v>0.140304523485138</v>
      </c>
    </row>
    <row r="108" customFormat="false" ht="15" hidden="false" customHeight="true" outlineLevel="0" collapsed="false">
      <c r="A108" s="3" t="s">
        <v>113</v>
      </c>
      <c r="B108" s="4" t="n">
        <v>37.1</v>
      </c>
      <c r="C108" s="4" t="n">
        <v>49.85</v>
      </c>
      <c r="D108" s="4" t="n">
        <v>59.14</v>
      </c>
      <c r="E108" s="5" t="n">
        <f aca="false">IFERROR(IF(OR(B108=0,B108="",C108=""),"",(C108-B108)/ABS(B108)),"")</f>
        <v>0.34366576819407</v>
      </c>
      <c r="F108" s="5" t="n">
        <f aca="false">IFERROR(IF(OR(C108=0,C108="",D108=""),"",(D108-C108)/ABS(C108)),"")</f>
        <v>0.186359077231695</v>
      </c>
      <c r="G108" s="5" t="n">
        <f aca="false">IFERROR(IF(OR(B108&lt;=0,D108&lt;=0,B108="",D108=""),"",(D108/B108)^(1/2)-1),"")</f>
        <v>0.262564881842725</v>
      </c>
    </row>
    <row r="109" customFormat="false" ht="15" hidden="false" customHeight="true" outlineLevel="0" collapsed="false">
      <c r="A109" s="3" t="s">
        <v>114</v>
      </c>
      <c r="B109" s="4" t="n">
        <v>14.81</v>
      </c>
      <c r="C109" s="4" t="n">
        <v>17.33</v>
      </c>
      <c r="D109" s="4" t="n">
        <v>19.27</v>
      </c>
      <c r="E109" s="5" t="n">
        <f aca="false">IFERROR(IF(OR(B109=0,B109="",C109=""),"",(C109-B109)/ABS(B109)),"")</f>
        <v>0.170155300472653</v>
      </c>
      <c r="F109" s="5" t="n">
        <f aca="false">IFERROR(IF(OR(C109=0,C109="",D109=""),"",(D109-C109)/ABS(C109)),"")</f>
        <v>0.111944604731679</v>
      </c>
      <c r="G109" s="5" t="n">
        <f aca="false">IFERROR(IF(OR(B109&lt;=0,D109&lt;=0,B109="",D109=""),"",(D109/B109)^(1/2)-1),"")</f>
        <v>0.140678689666264</v>
      </c>
    </row>
    <row r="110" customFormat="false" ht="15" hidden="false" customHeight="true" outlineLevel="0" collapsed="false">
      <c r="A110" s="3" t="s">
        <v>115</v>
      </c>
      <c r="B110" s="4" t="n">
        <v>4.16</v>
      </c>
      <c r="C110" s="4" t="n">
        <v>3.97</v>
      </c>
      <c r="D110" s="4" t="n">
        <v>3.48</v>
      </c>
      <c r="E110" s="5" t="n">
        <f aca="false">IFERROR(IF(OR(B110=0,B110="",C110=""),"",(C110-B110)/ABS(B110)),"")</f>
        <v>-0.0456730769230769</v>
      </c>
      <c r="F110" s="5" t="n">
        <f aca="false">IFERROR(IF(OR(C110=0,C110="",D110=""),"",(D110-C110)/ABS(C110)),"")</f>
        <v>-0.123425692695214</v>
      </c>
      <c r="G110" s="5" t="n">
        <f aca="false">IFERROR(IF(OR(B110&lt;=0,D110&lt;=0,B110="",D110=""),"",(D110/B110)^(1/2)-1),"")</f>
        <v>-0.0853752345696835</v>
      </c>
    </row>
    <row r="111" customFormat="false" ht="15" hidden="false" customHeight="true" outlineLevel="0" collapsed="false">
      <c r="A111" s="3" t="s">
        <v>116</v>
      </c>
      <c r="B111" s="4" t="n">
        <v>1.5</v>
      </c>
      <c r="C111" s="4" t="n">
        <v>1.68</v>
      </c>
      <c r="D111" s="4" t="n">
        <v>1.98</v>
      </c>
      <c r="E111" s="5" t="n">
        <f aca="false">IFERROR(IF(OR(B111=0,B111="",C111=""),"",(C111-B111)/ABS(B111)),"")</f>
        <v>0.12</v>
      </c>
      <c r="F111" s="5" t="n">
        <f aca="false">IFERROR(IF(OR(C111=0,C111="",D111=""),"",(D111-C111)/ABS(C111)),"")</f>
        <v>0.178571428571429</v>
      </c>
      <c r="G111" s="5" t="n">
        <f aca="false">IFERROR(IF(OR(B111&lt;=0,D111&lt;=0,B111="",D111=""),"",(D111/B111)^(1/2)-1),"")</f>
        <v>0.148912529307606</v>
      </c>
    </row>
    <row r="112" customFormat="false" ht="15" hidden="false" customHeight="true" outlineLevel="0" collapsed="false">
      <c r="A112" s="3" t="s">
        <v>117</v>
      </c>
      <c r="B112" s="4" t="n">
        <v>8.25</v>
      </c>
      <c r="C112" s="4" t="n">
        <v>18.1</v>
      </c>
      <c r="D112" s="4" t="n">
        <v>28.12</v>
      </c>
      <c r="E112" s="5" t="n">
        <f aca="false">IFERROR(IF(OR(B112=0,B112="",C112=""),"",(C112-B112)/ABS(B112)),"")</f>
        <v>1.19393939393939</v>
      </c>
      <c r="F112" s="5" t="n">
        <f aca="false">IFERROR(IF(OR(C112=0,C112="",D112=""),"",(D112-C112)/ABS(C112)),"")</f>
        <v>0.553591160220994</v>
      </c>
      <c r="G112" s="5" t="n">
        <f aca="false">IFERROR(IF(OR(B112&lt;=0,D112&lt;=0,B112="",D112=""),"",(D112/B112)^(1/2)-1),"")</f>
        <v>0.84620823540706</v>
      </c>
    </row>
    <row r="113" customFormat="false" ht="15" hidden="false" customHeight="true" outlineLevel="0" collapsed="false">
      <c r="A113" s="3" t="s">
        <v>118</v>
      </c>
      <c r="B113" s="4" t="n">
        <v>36.19</v>
      </c>
      <c r="C113" s="4" t="n">
        <v>44.44</v>
      </c>
      <c r="D113" s="4" t="n">
        <v>51.52</v>
      </c>
      <c r="E113" s="5" t="n">
        <f aca="false">IFERROR(IF(OR(B113=0,B113="",C113=""),"",(C113-B113)/ABS(B113)),"")</f>
        <v>0.227963525835866</v>
      </c>
      <c r="F113" s="5" t="n">
        <f aca="false">IFERROR(IF(OR(C113=0,C113="",D113=""),"",(D113-C113)/ABS(C113)),"")</f>
        <v>0.159315931593159</v>
      </c>
      <c r="G113" s="5" t="n">
        <f aca="false">IFERROR(IF(OR(B113&lt;=0,D113&lt;=0,B113="",D113=""),"",(D113/B113)^(1/2)-1),"")</f>
        <v>0.193146126388896</v>
      </c>
    </row>
    <row r="114" customFormat="false" ht="15" hidden="false" customHeight="true" outlineLevel="0" collapsed="false">
      <c r="A114" s="3" t="s">
        <v>119</v>
      </c>
      <c r="B114" s="4" t="n">
        <v>12.5</v>
      </c>
      <c r="C114" s="4" t="n">
        <v>13.47</v>
      </c>
      <c r="D114" s="4" t="n">
        <v>14.78</v>
      </c>
      <c r="E114" s="5" t="n">
        <f aca="false">IFERROR(IF(OR(B114=0,B114="",C114=""),"",(C114-B114)/ABS(B114)),"")</f>
        <v>0.0776000000000001</v>
      </c>
      <c r="F114" s="5" t="n">
        <f aca="false">IFERROR(IF(OR(C114=0,C114="",D114=""),"",(D114-C114)/ABS(C114)),"")</f>
        <v>0.0972531551596139</v>
      </c>
      <c r="G114" s="5" t="n">
        <f aca="false">IFERROR(IF(OR(B114&lt;=0,D114&lt;=0,B114="",D114=""),"",(D114/B114)^(1/2)-1),"")</f>
        <v>0.0873821775254549</v>
      </c>
    </row>
    <row r="115" customFormat="false" ht="15" hidden="false" customHeight="true" outlineLevel="0" collapsed="false">
      <c r="A115" s="3" t="s">
        <v>120</v>
      </c>
      <c r="B115" s="4" t="n">
        <v>5.67</v>
      </c>
      <c r="C115" s="4" t="n">
        <v>7.93</v>
      </c>
      <c r="D115" s="4" t="n">
        <v>9.58</v>
      </c>
      <c r="E115" s="5" t="n">
        <f aca="false">IFERROR(IF(OR(B115=0,B115="",C115=""),"",(C115-B115)/ABS(B115)),"")</f>
        <v>0.398589065255732</v>
      </c>
      <c r="F115" s="5" t="n">
        <f aca="false">IFERROR(IF(OR(C115=0,C115="",D115=""),"",(D115-C115)/ABS(C115)),"")</f>
        <v>0.208070617906684</v>
      </c>
      <c r="G115" s="5" t="n">
        <f aca="false">IFERROR(IF(OR(B115&lt;=0,D115&lt;=0,B115="",D115=""),"",(D115/B115)^(1/2)-1),"")</f>
        <v>0.299843973814174</v>
      </c>
    </row>
    <row r="116" customFormat="false" ht="15" hidden="false" customHeight="true" outlineLevel="0" collapsed="false">
      <c r="A116" s="3" t="s">
        <v>121</v>
      </c>
      <c r="B116" s="4" t="n">
        <v>12.29</v>
      </c>
      <c r="C116" s="4" t="n">
        <v>13.2</v>
      </c>
      <c r="D116" s="4" t="n">
        <v>14.4</v>
      </c>
      <c r="E116" s="5" t="n">
        <f aca="false">IFERROR(IF(OR(B116=0,B116="",C116=""),"",(C116-B116)/ABS(B116)),"")</f>
        <v>0.0740439381611066</v>
      </c>
      <c r="F116" s="5" t="n">
        <f aca="false">IFERROR(IF(OR(C116=0,C116="",D116=""),"",(D116-C116)/ABS(C116)),"")</f>
        <v>0.090909090909091</v>
      </c>
      <c r="G116" s="5" t="n">
        <f aca="false">IFERROR(IF(OR(B116&lt;=0,D116&lt;=0,B116="",D116=""),"",(D116/B116)^(1/2)-1),"")</f>
        <v>0.0824436688233494</v>
      </c>
    </row>
    <row r="117" customFormat="false" ht="15" hidden="false" customHeight="true" outlineLevel="0" collapsed="false">
      <c r="A117" s="3" t="s">
        <v>122</v>
      </c>
      <c r="B117" s="4" t="n">
        <v>-0.61</v>
      </c>
      <c r="C117" s="4" t="n">
        <v>2.15</v>
      </c>
      <c r="D117" s="4" t="n">
        <v>3.27</v>
      </c>
      <c r="E117" s="5" t="n">
        <f aca="false">IFERROR(IF(OR(B117=0,B117="",C117=""),"",(C117-B117)/ABS(B117)),"")</f>
        <v>4.52459016393443</v>
      </c>
      <c r="F117" s="5" t="n">
        <f aca="false">IFERROR(IF(OR(C117=0,C117="",D117=""),"",(D117-C117)/ABS(C117)),"")</f>
        <v>0.52093023255814</v>
      </c>
      <c r="G117" s="5" t="str">
        <f aca="false">IFERROR(IF(OR(B117&lt;=0,D117&lt;=0,B117="",D117=""),"",(D117/B117)^(1/2)-1),"")</f>
        <v/>
      </c>
    </row>
    <row r="118" customFormat="false" ht="15" hidden="false" customHeight="true" outlineLevel="0" collapsed="false">
      <c r="A118" s="3" t="s">
        <v>123</v>
      </c>
      <c r="B118" s="4" t="n">
        <v>19.65</v>
      </c>
      <c r="C118" s="4" t="n">
        <v>22.76</v>
      </c>
      <c r="D118" s="4" t="n">
        <v>26.43</v>
      </c>
      <c r="E118" s="5" t="n">
        <f aca="false">IFERROR(IF(OR(B118=0,B118="",C118=""),"",(C118-B118)/ABS(B118)),"")</f>
        <v>0.158269720101781</v>
      </c>
      <c r="F118" s="5" t="n">
        <f aca="false">IFERROR(IF(OR(C118=0,C118="",D118=""),"",(D118-C118)/ABS(C118)),"")</f>
        <v>0.161247803163445</v>
      </c>
      <c r="G118" s="5" t="n">
        <f aca="false">IFERROR(IF(OR(B118&lt;=0,D118&lt;=0,B118="",D118=""),"",(D118/B118)^(1/2)-1),"")</f>
        <v>0.15975780572451</v>
      </c>
    </row>
    <row r="119" customFormat="false" ht="15" hidden="false" customHeight="true" outlineLevel="0" collapsed="false">
      <c r="A119" s="3" t="s">
        <v>124</v>
      </c>
      <c r="B119" s="4" t="n">
        <v>11.6</v>
      </c>
      <c r="C119" s="4" t="n">
        <v>13.09</v>
      </c>
      <c r="D119" s="4" t="n">
        <v>14.64</v>
      </c>
      <c r="E119" s="5" t="n">
        <f aca="false">IFERROR(IF(OR(B119=0,B119="",C119=""),"",(C119-B119)/ABS(B119)),"")</f>
        <v>0.128448275862069</v>
      </c>
      <c r="F119" s="5" t="n">
        <f aca="false">IFERROR(IF(OR(C119=0,C119="",D119=""),"",(D119-C119)/ABS(C119)),"")</f>
        <v>0.118411000763942</v>
      </c>
      <c r="G119" s="5" t="n">
        <f aca="false">IFERROR(IF(OR(B119&lt;=0,D119&lt;=0,B119="",D119=""),"",(D119/B119)^(1/2)-1),"")</f>
        <v>0.123418428510607</v>
      </c>
    </row>
    <row r="120" customFormat="false" ht="15" hidden="false" customHeight="true" outlineLevel="0" collapsed="false">
      <c r="A120" s="3" t="s">
        <v>125</v>
      </c>
      <c r="B120" s="4" t="n">
        <v>25.79</v>
      </c>
      <c r="C120" s="4" t="n">
        <v>29.8</v>
      </c>
      <c r="D120" s="4" t="n">
        <v>33.24</v>
      </c>
      <c r="E120" s="5" t="n">
        <f aca="false">IFERROR(IF(OR(B120=0,B120="",C120=""),"",(C120-B120)/ABS(B120)),"")</f>
        <v>0.155486622721985</v>
      </c>
      <c r="F120" s="5" t="n">
        <f aca="false">IFERROR(IF(OR(C120=0,C120="",D120=""),"",(D120-C120)/ABS(C120)),"")</f>
        <v>0.115436241610738</v>
      </c>
      <c r="G120" s="5" t="n">
        <f aca="false">IFERROR(IF(OR(B120&lt;=0,D120&lt;=0,B120="",D120=""),"",(D120/B120)^(1/2)-1),"")</f>
        <v>0.135284834603412</v>
      </c>
    </row>
    <row r="121" customFormat="false" ht="15" hidden="false" customHeight="true" outlineLevel="0" collapsed="false">
      <c r="A121" s="3" t="s">
        <v>126</v>
      </c>
      <c r="B121" s="4" t="n">
        <v>44.26</v>
      </c>
      <c r="C121" s="4" t="n">
        <v>50.32</v>
      </c>
      <c r="D121" s="4" t="n">
        <v>57.39</v>
      </c>
      <c r="E121" s="5" t="n">
        <f aca="false">IFERROR(IF(OR(B121=0,B121="",C121=""),"",(C121-B121)/ABS(B121)),"")</f>
        <v>0.136918210573882</v>
      </c>
      <c r="F121" s="5" t="n">
        <f aca="false">IFERROR(IF(OR(C121=0,C121="",D121=""),"",(D121-C121)/ABS(C121)),"")</f>
        <v>0.14050079491256</v>
      </c>
      <c r="G121" s="5" t="n">
        <f aca="false">IFERROR(IF(OR(B121&lt;=0,D121&lt;=0,B121="",D121=""),"",(D121/B121)^(1/2)-1),"")</f>
        <v>0.138708093810735</v>
      </c>
    </row>
    <row r="122" customFormat="false" ht="15" hidden="false" customHeight="true" outlineLevel="0" collapsed="false">
      <c r="A122" s="3" t="s">
        <v>127</v>
      </c>
      <c r="B122" s="4" t="n">
        <v>5.84</v>
      </c>
      <c r="C122" s="4" t="n">
        <v>7.08</v>
      </c>
      <c r="D122" s="4" t="n">
        <v>8.71</v>
      </c>
      <c r="E122" s="5" t="n">
        <f aca="false">IFERROR(IF(OR(B122=0,B122="",C122=""),"",(C122-B122)/ABS(B122)),"")</f>
        <v>0.212328767123288</v>
      </c>
      <c r="F122" s="5" t="n">
        <f aca="false">IFERROR(IF(OR(C122=0,C122="",D122=""),"",(D122-C122)/ABS(C122)),"")</f>
        <v>0.230225988700565</v>
      </c>
      <c r="G122" s="5" t="n">
        <f aca="false">IFERROR(IF(OR(B122&lt;=0,D122&lt;=0,B122="",D122=""),"",(D122/B122)^(1/2)-1),"")</f>
        <v>0.22124459309525</v>
      </c>
    </row>
    <row r="123" customFormat="false" ht="15" hidden="false" customHeight="true" outlineLevel="0" collapsed="false">
      <c r="A123" s="3" t="s">
        <v>128</v>
      </c>
      <c r="B123" s="4" t="n">
        <v>5.55</v>
      </c>
      <c r="C123" s="4" t="n">
        <v>6.06</v>
      </c>
      <c r="D123" s="4" t="n">
        <v>6.53</v>
      </c>
      <c r="E123" s="5" t="n">
        <f aca="false">IFERROR(IF(OR(B123=0,B123="",C123=""),"",(C123-B123)/ABS(B123)),"")</f>
        <v>0.0918918918918919</v>
      </c>
      <c r="F123" s="5" t="n">
        <f aca="false">IFERROR(IF(OR(C123=0,C123="",D123=""),"",(D123-C123)/ABS(C123)),"")</f>
        <v>0.0775577557755777</v>
      </c>
      <c r="G123" s="5" t="n">
        <f aca="false">IFERROR(IF(OR(B123&lt;=0,D123&lt;=0,B123="",D123=""),"",(D123/B123)^(1/2)-1),"")</f>
        <v>0.0847011462041407</v>
      </c>
    </row>
    <row r="124" customFormat="false" ht="15" hidden="false" customHeight="true" outlineLevel="0" collapsed="false">
      <c r="A124" s="3" t="s">
        <v>129</v>
      </c>
      <c r="B124" s="4" t="n">
        <v>41.35</v>
      </c>
      <c r="C124" s="4" t="n">
        <v>59.17</v>
      </c>
      <c r="D124" s="4" t="n">
        <v>83.96</v>
      </c>
      <c r="E124" s="5" t="n">
        <f aca="false">IFERROR(IF(OR(B124=0,B124="",C124=""),"",(C124-B124)/ABS(B124)),"")</f>
        <v>0.430955259975816</v>
      </c>
      <c r="F124" s="5" t="n">
        <f aca="false">IFERROR(IF(OR(C124=0,C124="",D124=""),"",(D124-C124)/ABS(C124)),"")</f>
        <v>0.418962311982423</v>
      </c>
      <c r="G124" s="5" t="n">
        <f aca="false">IFERROR(IF(OR(B124&lt;=0,D124&lt;=0,B124="",D124=""),"",(D124/B124)^(1/2)-1),"")</f>
        <v>0.424946168821368</v>
      </c>
    </row>
    <row r="125" customFormat="false" ht="15" hidden="false" customHeight="true" outlineLevel="0" collapsed="false">
      <c r="A125" s="3" t="s">
        <v>130</v>
      </c>
      <c r="B125" s="4" t="n">
        <v>32.32</v>
      </c>
      <c r="C125" s="4" t="n">
        <v>36.01</v>
      </c>
      <c r="D125" s="4" t="n">
        <v>40.92</v>
      </c>
      <c r="E125" s="5" t="n">
        <f aca="false">IFERROR(IF(OR(B125=0,B125="",C125=""),"",(C125-B125)/ABS(B125)),"")</f>
        <v>0.114170792079208</v>
      </c>
      <c r="F125" s="5" t="n">
        <f aca="false">IFERROR(IF(OR(C125=0,C125="",D125=""),"",(D125-C125)/ABS(C125)),"")</f>
        <v>0.136351013607331</v>
      </c>
      <c r="G125" s="5" t="n">
        <f aca="false">IFERROR(IF(OR(B125&lt;=0,D125&lt;=0,B125="",D125=""),"",(D125/B125)^(1/2)-1),"")</f>
        <v>0.125206251720497</v>
      </c>
    </row>
    <row r="126" customFormat="false" ht="15" hidden="false" customHeight="true" outlineLevel="0" collapsed="false">
      <c r="A126" s="3" t="s">
        <v>131</v>
      </c>
      <c r="B126" s="4" t="n">
        <v>6.75</v>
      </c>
      <c r="C126" s="4" t="n">
        <v>7.55</v>
      </c>
      <c r="D126" s="4" t="n">
        <v>8.07</v>
      </c>
      <c r="E126" s="5" t="n">
        <f aca="false">IFERROR(IF(OR(B126=0,B126="",C126=""),"",(C126-B126)/ABS(B126)),"")</f>
        <v>0.118518518518519</v>
      </c>
      <c r="F126" s="5" t="n">
        <f aca="false">IFERROR(IF(OR(C126=0,C126="",D126=""),"",(D126-C126)/ABS(C126)),"")</f>
        <v>0.0688741721854305</v>
      </c>
      <c r="G126" s="5" t="n">
        <f aca="false">IFERROR(IF(OR(B126&lt;=0,D126&lt;=0,B126="",D126=""),"",(D126/B126)^(1/2)-1),"")</f>
        <v>0.0934146311237818</v>
      </c>
    </row>
    <row r="127" customFormat="false" ht="15" hidden="false" customHeight="true" outlineLevel="0" collapsed="false">
      <c r="A127" s="3" t="s">
        <v>132</v>
      </c>
      <c r="B127" s="4" t="n">
        <v>2.31</v>
      </c>
      <c r="C127" s="4" t="n">
        <v>2.58</v>
      </c>
      <c r="D127" s="4" t="n">
        <v>2.92</v>
      </c>
      <c r="E127" s="5" t="n">
        <f aca="false">IFERROR(IF(OR(B127=0,B127="",C127=""),"",(C127-B127)/ABS(B127)),"")</f>
        <v>0.116883116883117</v>
      </c>
      <c r="F127" s="5" t="n">
        <f aca="false">IFERROR(IF(OR(C127=0,C127="",D127=""),"",(D127-C127)/ABS(C127)),"")</f>
        <v>0.131782945736434</v>
      </c>
      <c r="G127" s="5" t="n">
        <f aca="false">IFERROR(IF(OR(B127&lt;=0,D127&lt;=0,B127="",D127=""),"",(D127/B127)^(1/2)-1),"")</f>
        <v>0.124308349194857</v>
      </c>
    </row>
    <row r="128" customFormat="false" ht="15" hidden="false" customHeight="true" outlineLevel="0" collapsed="false">
      <c r="A128" s="3" t="s">
        <v>133</v>
      </c>
      <c r="B128" s="4" t="n">
        <v>4.87</v>
      </c>
      <c r="C128" s="4" t="n">
        <v>7.38</v>
      </c>
      <c r="D128" s="4" t="n">
        <v>10.17</v>
      </c>
      <c r="E128" s="5" t="n">
        <f aca="false">IFERROR(IF(OR(B128=0,B128="",C128=""),"",(C128-B128)/ABS(B128)),"")</f>
        <v>0.515400410677618</v>
      </c>
      <c r="F128" s="5" t="n">
        <f aca="false">IFERROR(IF(OR(C128=0,C128="",D128=""),"",(D128-C128)/ABS(C128)),"")</f>
        <v>0.378048780487805</v>
      </c>
      <c r="G128" s="5" t="n">
        <f aca="false">IFERROR(IF(OR(B128&lt;=0,D128&lt;=0,B128="",D128=""),"",(D128/B128)^(1/2)-1),"")</f>
        <v>0.445093660592631</v>
      </c>
    </row>
    <row r="129" customFormat="false" ht="15" hidden="false" customHeight="true" outlineLevel="0" collapsed="false">
      <c r="A129" s="3" t="s">
        <v>134</v>
      </c>
      <c r="B129" s="4" t="n">
        <v>0.31</v>
      </c>
      <c r="C129" s="4" t="n">
        <v>1.17</v>
      </c>
      <c r="D129" s="4" t="n">
        <v>1.8</v>
      </c>
      <c r="E129" s="5" t="n">
        <f aca="false">IFERROR(IF(OR(B129=0,B129="",C129=""),"",(C129-B129)/ABS(B129)),"")</f>
        <v>2.7741935483871</v>
      </c>
      <c r="F129" s="5" t="n">
        <f aca="false">IFERROR(IF(OR(C129=0,C129="",D129=""),"",(D129-C129)/ABS(C129)),"")</f>
        <v>0.538461538461539</v>
      </c>
      <c r="G129" s="5" t="n">
        <f aca="false">IFERROR(IF(OR(B129&lt;=0,D129&lt;=0,B129="",D129=""),"",(D129/B129)^(1/2)-1),"")</f>
        <v>1.4096579867075</v>
      </c>
    </row>
    <row r="130" customFormat="false" ht="15" hidden="false" customHeight="true" outlineLevel="0" collapsed="false">
      <c r="A130" s="3" t="s">
        <v>135</v>
      </c>
      <c r="B130" s="4" t="n">
        <v>24.02</v>
      </c>
      <c r="C130" s="4" t="n">
        <v>30.16</v>
      </c>
      <c r="D130" s="4" t="n">
        <v>35.47</v>
      </c>
      <c r="E130" s="5" t="n">
        <f aca="false">IFERROR(IF(OR(B130=0,B130="",C130=""),"",(C130-B130)/ABS(B130)),"")</f>
        <v>0.255620316402998</v>
      </c>
      <c r="F130" s="5" t="n">
        <f aca="false">IFERROR(IF(OR(C130=0,C130="",D130=""),"",(D130-C130)/ABS(C130)),"")</f>
        <v>0.17606100795756</v>
      </c>
      <c r="G130" s="5" t="n">
        <f aca="false">IFERROR(IF(OR(B130&lt;=0,D130&lt;=0,B130="",D130=""),"",(D130/B130)^(1/2)-1),"")</f>
        <v>0.215189736181515</v>
      </c>
    </row>
    <row r="131" customFormat="false" ht="15" hidden="false" customHeight="true" outlineLevel="0" collapsed="false">
      <c r="A131" s="3" t="s">
        <v>136</v>
      </c>
      <c r="B131" s="4" t="n">
        <v>2.74</v>
      </c>
      <c r="C131" s="4" t="n">
        <v>9.52</v>
      </c>
      <c r="D131" s="4" t="n">
        <v>10.91</v>
      </c>
      <c r="E131" s="5" t="n">
        <f aca="false">IFERROR(IF(OR(B131=0,B131="",C131=""),"",(C131-B131)/ABS(B131)),"")</f>
        <v>2.47445255474453</v>
      </c>
      <c r="F131" s="5" t="n">
        <f aca="false">IFERROR(IF(OR(C131=0,C131="",D131=""),"",(D131-C131)/ABS(C131)),"")</f>
        <v>0.146008403361345</v>
      </c>
      <c r="G131" s="5" t="n">
        <f aca="false">IFERROR(IF(OR(B131&lt;=0,D131&lt;=0,B131="",D131=""),"",(D131/B131)^(1/2)-1),"")</f>
        <v>0.995432741241237</v>
      </c>
    </row>
    <row r="132" customFormat="false" ht="15" hidden="false" customHeight="true" outlineLevel="0" collapsed="false">
      <c r="A132" s="3" t="s">
        <v>137</v>
      </c>
      <c r="B132" s="4" t="n">
        <v>3.82</v>
      </c>
      <c r="C132" s="4" t="n">
        <v>5.45</v>
      </c>
      <c r="D132" s="4" t="n">
        <v>7.6</v>
      </c>
      <c r="E132" s="5" t="n">
        <f aca="false">IFERROR(IF(OR(B132=0,B132="",C132=""),"",(C132-B132)/ABS(B132)),"")</f>
        <v>0.426701570680628</v>
      </c>
      <c r="F132" s="5" t="n">
        <f aca="false">IFERROR(IF(OR(C132=0,C132="",D132=""),"",(D132-C132)/ABS(C132)),"")</f>
        <v>0.394495412844037</v>
      </c>
      <c r="G132" s="5" t="n">
        <f aca="false">IFERROR(IF(OR(B132&lt;=0,D132&lt;=0,B132="",D132=""),"",(D132/B132)^(1/2)-1),"")</f>
        <v>0.410506574182311</v>
      </c>
    </row>
    <row r="133" customFormat="false" ht="15" hidden="false" customHeight="true" outlineLevel="0" collapsed="false">
      <c r="A133" s="3" t="s">
        <v>138</v>
      </c>
      <c r="B133" s="4" t="n">
        <v>11.85</v>
      </c>
      <c r="C133" s="4" t="n">
        <v>12.7</v>
      </c>
      <c r="D133" s="4" t="n">
        <v>13.56</v>
      </c>
      <c r="E133" s="5" t="n">
        <f aca="false">IFERROR(IF(OR(B133=0,B133="",C133=""),"",(C133-B133)/ABS(B133)),"")</f>
        <v>0.0717299578059071</v>
      </c>
      <c r="F133" s="5" t="n">
        <f aca="false">IFERROR(IF(OR(C133=0,C133="",D133=""),"",(D133-C133)/ABS(C133)),"")</f>
        <v>0.067716535433071</v>
      </c>
      <c r="G133" s="5" t="n">
        <f aca="false">IFERROR(IF(OR(B133&lt;=0,D133&lt;=0,B133="",D133=""),"",(D133/B133)^(1/2)-1),"")</f>
        <v>0.069721364406804</v>
      </c>
    </row>
    <row r="134" customFormat="false" ht="15" hidden="false" customHeight="true" outlineLevel="0" collapsed="false">
      <c r="A134" s="3" t="s">
        <v>139</v>
      </c>
      <c r="B134" s="4" t="n">
        <v>16.81</v>
      </c>
      <c r="C134" s="4" t="n">
        <v>19.34</v>
      </c>
      <c r="D134" s="4" t="n">
        <v>22.48</v>
      </c>
      <c r="E134" s="5" t="n">
        <f aca="false">IFERROR(IF(OR(B134=0,B134="",C134=""),"",(C134-B134)/ABS(B134)),"")</f>
        <v>0.150505651397977</v>
      </c>
      <c r="F134" s="5" t="n">
        <f aca="false">IFERROR(IF(OR(C134=0,C134="",D134=""),"",(D134-C134)/ABS(C134)),"")</f>
        <v>0.162357807652534</v>
      </c>
      <c r="G134" s="5" t="n">
        <f aca="false">IFERROR(IF(OR(B134&lt;=0,D134&lt;=0,B134="",D134=""),"",(D134/B134)^(1/2)-1),"")</f>
        <v>0.156416545476068</v>
      </c>
    </row>
    <row r="135" customFormat="false" ht="15" hidden="false" customHeight="true" outlineLevel="0" collapsed="false">
      <c r="A135" s="3" t="s">
        <v>140</v>
      </c>
      <c r="B135" s="4" t="n">
        <v>5.03</v>
      </c>
      <c r="C135" s="4" t="n">
        <v>6.84</v>
      </c>
      <c r="D135" s="4" t="n">
        <v>7.75</v>
      </c>
      <c r="E135" s="5" t="n">
        <f aca="false">IFERROR(IF(OR(B135=0,B135="",C135=""),"",(C135-B135)/ABS(B135)),"")</f>
        <v>0.359840954274354</v>
      </c>
      <c r="F135" s="5" t="n">
        <f aca="false">IFERROR(IF(OR(C135=0,C135="",D135=""),"",(D135-C135)/ABS(C135)),"")</f>
        <v>0.133040935672515</v>
      </c>
      <c r="G135" s="5" t="n">
        <f aca="false">IFERROR(IF(OR(B135&lt;=0,D135&lt;=0,B135="",D135=""),"",(D135/B135)^(1/2)-1),"")</f>
        <v>0.241271713685935</v>
      </c>
    </row>
    <row r="136" customFormat="false" ht="15" hidden="false" customHeight="true" outlineLevel="0" collapsed="false">
      <c r="A136" s="3" t="s">
        <v>141</v>
      </c>
      <c r="B136" s="4" t="n">
        <v>58.29</v>
      </c>
      <c r="C136" s="4" t="n">
        <v>102.74</v>
      </c>
      <c r="D136" s="4" t="n">
        <v>85.87</v>
      </c>
      <c r="E136" s="5" t="n">
        <f aca="false">IFERROR(IF(OR(B136=0,B136="",C136=""),"",(C136-B136)/ABS(B136)),"")</f>
        <v>0.762566477955052</v>
      </c>
      <c r="F136" s="5" t="n">
        <f aca="false">IFERROR(IF(OR(C136=0,C136="",D136=""),"",(D136-C136)/ABS(C136)),"")</f>
        <v>-0.164200895464279</v>
      </c>
      <c r="G136" s="5" t="n">
        <f aca="false">IFERROR(IF(OR(B136&lt;=0,D136&lt;=0,B136="",D136=""),"",(D136/B136)^(1/2)-1),"")</f>
        <v>0.213734519555044</v>
      </c>
    </row>
    <row r="137" customFormat="false" ht="15" hidden="false" customHeight="true" outlineLevel="0" collapsed="false">
      <c r="A137" s="3" t="s">
        <v>142</v>
      </c>
      <c r="B137" s="4" t="n">
        <v>-2.64</v>
      </c>
      <c r="C137" s="4" t="n">
        <v>0.36</v>
      </c>
      <c r="D137" s="4" t="n">
        <v>5.16</v>
      </c>
      <c r="E137" s="5" t="n">
        <f aca="false">IFERROR(IF(OR(B137=0,B137="",C137=""),"",(C137-B137)/ABS(B137)),"")</f>
        <v>1.13636363636364</v>
      </c>
      <c r="F137" s="5" t="n">
        <f aca="false">IFERROR(IF(OR(C137=0,C137="",D137=""),"",(D137-C137)/ABS(C137)),"")</f>
        <v>13.3333333333333</v>
      </c>
      <c r="G137" s="5" t="str">
        <f aca="false">IFERROR(IF(OR(B137&lt;=0,D137&lt;=0,B137="",D137=""),"",(D137/B137)^(1/2)-1),"")</f>
        <v/>
      </c>
    </row>
    <row r="138" customFormat="false" ht="15" hidden="false" customHeight="true" outlineLevel="0" collapsed="false">
      <c r="A138" s="3" t="s">
        <v>143</v>
      </c>
      <c r="B138" s="4" t="n">
        <v>1.19</v>
      </c>
      <c r="C138" s="4" t="n">
        <v>1.53</v>
      </c>
      <c r="D138" s="4" t="n">
        <v>1.99</v>
      </c>
      <c r="E138" s="5" t="n">
        <f aca="false">IFERROR(IF(OR(B138=0,B138="",C138=""),"",(C138-B138)/ABS(B138)),"")</f>
        <v>0.285714285714286</v>
      </c>
      <c r="F138" s="5" t="n">
        <f aca="false">IFERROR(IF(OR(C138=0,C138="",D138=""),"",(D138-C138)/ABS(C138)),"")</f>
        <v>0.300653594771242</v>
      </c>
      <c r="G138" s="5" t="n">
        <f aca="false">IFERROR(IF(OR(B138&lt;=0,D138&lt;=0,B138="",D138=""),"",(D138/B138)^(1/2)-1),"")</f>
        <v>0.293162367053351</v>
      </c>
    </row>
    <row r="139" customFormat="false" ht="15" hidden="false" customHeight="true" outlineLevel="0" collapsed="false">
      <c r="A139" s="3" t="s">
        <v>144</v>
      </c>
      <c r="B139" s="4" t="n">
        <v>3.6</v>
      </c>
      <c r="C139" s="4" t="n">
        <v>3.84</v>
      </c>
      <c r="D139" s="4" t="n">
        <v>4.6</v>
      </c>
      <c r="E139" s="5" t="n">
        <f aca="false">IFERROR(IF(OR(B139=0,B139="",C139=""),"",(C139-B139)/ABS(B139)),"")</f>
        <v>0.0666666666666666</v>
      </c>
      <c r="F139" s="5" t="n">
        <f aca="false">IFERROR(IF(OR(C139=0,C139="",D139=""),"",(D139-C139)/ABS(C139)),"")</f>
        <v>0.197916666666667</v>
      </c>
      <c r="G139" s="5" t="n">
        <f aca="false">IFERROR(IF(OR(B139&lt;=0,D139&lt;=0,B139="",D139=""),"",(D139/B139)^(1/2)-1),"")</f>
        <v>0.130388330520878</v>
      </c>
    </row>
    <row r="140" customFormat="false" ht="15" hidden="false" customHeight="true" outlineLevel="0" collapsed="false">
      <c r="A140" s="3" t="s">
        <v>145</v>
      </c>
      <c r="B140" s="4" t="n">
        <v>1.5</v>
      </c>
      <c r="C140" s="4" t="n">
        <v>1.82</v>
      </c>
      <c r="D140" s="4" t="n">
        <v>2.42</v>
      </c>
      <c r="E140" s="5" t="n">
        <f aca="false">IFERROR(IF(OR(B140=0,B140="",C140=""),"",(C140-B140)/ABS(B140)),"")</f>
        <v>0.213333333333333</v>
      </c>
      <c r="F140" s="5" t="n">
        <f aca="false">IFERROR(IF(OR(C140=0,C140="",D140=""),"",(D140-C140)/ABS(C140)),"")</f>
        <v>0.32967032967033</v>
      </c>
      <c r="G140" s="5" t="n">
        <f aca="false">IFERROR(IF(OR(B140&lt;=0,D140&lt;=0,B140="",D140=""),"",(D140/B140)^(1/2)-1),"")</f>
        <v>0.270170592217177</v>
      </c>
    </row>
    <row r="141" customFormat="false" ht="15" hidden="false" customHeight="true" outlineLevel="0" collapsed="false">
      <c r="A141" s="3" t="s">
        <v>146</v>
      </c>
      <c r="B141" s="4" t="n">
        <v>4.12</v>
      </c>
      <c r="C141" s="4" t="n">
        <v>5.03</v>
      </c>
      <c r="D141" s="4" t="n">
        <v>6.1</v>
      </c>
      <c r="E141" s="5" t="n">
        <f aca="false">IFERROR(IF(OR(B141=0,B141="",C141=""),"",(C141-B141)/ABS(B141)),"")</f>
        <v>0.220873786407767</v>
      </c>
      <c r="F141" s="5" t="n">
        <f aca="false">IFERROR(IF(OR(C141=0,C141="",D141=""),"",(D141-C141)/ABS(C141)),"")</f>
        <v>0.21272365805169</v>
      </c>
      <c r="G141" s="5" t="n">
        <f aca="false">IFERROR(IF(OR(B141&lt;=0,D141&lt;=0,B141="",D141=""),"",(D141/B141)^(1/2)-1),"")</f>
        <v>0.216791898506825</v>
      </c>
    </row>
    <row r="142" customFormat="false" ht="15" hidden="false" customHeight="true" outlineLevel="0" collapsed="false">
      <c r="A142" s="3" t="s">
        <v>147</v>
      </c>
      <c r="B142" s="4" t="n">
        <v>7.98</v>
      </c>
      <c r="C142" s="4" t="n">
        <v>8.53</v>
      </c>
      <c r="D142" s="4" t="n">
        <v>9.41</v>
      </c>
      <c r="E142" s="5" t="n">
        <f aca="false">IFERROR(IF(OR(B142=0,B142="",C142=""),"",(C142-B142)/ABS(B142)),"")</f>
        <v>0.0689223057644109</v>
      </c>
      <c r="F142" s="5" t="n">
        <f aca="false">IFERROR(IF(OR(C142=0,C142="",D142=""),"",(D142-C142)/ABS(C142)),"")</f>
        <v>0.1031652989449</v>
      </c>
      <c r="G142" s="5" t="n">
        <f aca="false">IFERROR(IF(OR(B142&lt;=0,D142&lt;=0,B142="",D142=""),"",(D142/B142)^(1/2)-1),"")</f>
        <v>0.085908833644643</v>
      </c>
    </row>
    <row r="143" customFormat="false" ht="15" hidden="false" customHeight="true" outlineLevel="0" collapsed="false">
      <c r="A143" s="3" t="s">
        <v>148</v>
      </c>
      <c r="B143" s="4" t="n">
        <v>0.88</v>
      </c>
      <c r="C143" s="4" t="n">
        <v>1.16</v>
      </c>
      <c r="D143" s="4" t="n">
        <v>1.49</v>
      </c>
      <c r="E143" s="5" t="n">
        <f aca="false">IFERROR(IF(OR(B143=0,B143="",C143=""),"",(C143-B143)/ABS(B143)),"")</f>
        <v>0.318181818181818</v>
      </c>
      <c r="F143" s="5" t="n">
        <f aca="false">IFERROR(IF(OR(C143=0,C143="",D143=""),"",(D143-C143)/ABS(C143)),"")</f>
        <v>0.28448275862069</v>
      </c>
      <c r="G143" s="5" t="n">
        <f aca="false">IFERROR(IF(OR(B143&lt;=0,D143&lt;=0,B143="",D143=""),"",(D143/B143)^(1/2)-1),"")</f>
        <v>0.301223200754512</v>
      </c>
    </row>
    <row r="144" customFormat="false" ht="15" hidden="false" customHeight="true" outlineLevel="0" collapsed="false">
      <c r="A144" s="3" t="s">
        <v>149</v>
      </c>
      <c r="B144" s="4" t="n">
        <v>14.51</v>
      </c>
      <c r="C144" s="4" t="n">
        <v>15.97</v>
      </c>
      <c r="D144" s="4" t="n">
        <v>16.81</v>
      </c>
      <c r="E144" s="5" t="n">
        <f aca="false">IFERROR(IF(OR(B144=0,B144="",C144=""),"",(C144-B144)/ABS(B144)),"")</f>
        <v>0.100620261888353</v>
      </c>
      <c r="F144" s="5" t="n">
        <f aca="false">IFERROR(IF(OR(C144=0,C144="",D144=""),"",(D144-C144)/ABS(C144)),"")</f>
        <v>0.0525986224170318</v>
      </c>
      <c r="G144" s="5" t="n">
        <f aca="false">IFERROR(IF(OR(B144&lt;=0,D144&lt;=0,B144="",D144=""),"",(D144/B144)^(1/2)-1),"")</f>
        <v>0.076341661122505</v>
      </c>
    </row>
    <row r="145" customFormat="false" ht="15" hidden="false" customHeight="true" outlineLevel="0" collapsed="false">
      <c r="A145" s="3" t="s">
        <v>150</v>
      </c>
      <c r="B145" s="4" t="n">
        <v>8.94</v>
      </c>
      <c r="C145" s="4" t="n">
        <v>12.65</v>
      </c>
      <c r="D145" s="4" t="n">
        <v>15.51</v>
      </c>
      <c r="E145" s="5" t="n">
        <f aca="false">IFERROR(IF(OR(B145=0,B145="",C145=""),"",(C145-B145)/ABS(B145)),"")</f>
        <v>0.414988814317674</v>
      </c>
      <c r="F145" s="5" t="n">
        <f aca="false">IFERROR(IF(OR(C145=0,C145="",D145=""),"",(D145-C145)/ABS(C145)),"")</f>
        <v>0.226086956521739</v>
      </c>
      <c r="G145" s="5" t="n">
        <f aca="false">IFERROR(IF(OR(B145&lt;=0,D145&lt;=0,B145="",D145=""),"",(D145/B145)^(1/2)-1),"")</f>
        <v>0.317155772435083</v>
      </c>
    </row>
    <row r="146" customFormat="false" ht="15" hidden="false" customHeight="true" outlineLevel="0" collapsed="false">
      <c r="A146" s="3" t="s">
        <v>151</v>
      </c>
      <c r="B146" s="4" t="n">
        <v>10.48</v>
      </c>
      <c r="C146" s="4" t="n">
        <v>12.94</v>
      </c>
      <c r="D146" s="4" t="n">
        <v>14.47</v>
      </c>
      <c r="E146" s="5" t="n">
        <f aca="false">IFERROR(IF(OR(B146=0,B146="",C146=""),"",(C146-B146)/ABS(B146)),"")</f>
        <v>0.234732824427481</v>
      </c>
      <c r="F146" s="5" t="n">
        <f aca="false">IFERROR(IF(OR(C146=0,C146="",D146=""),"",(D146-C146)/ABS(C146)),"")</f>
        <v>0.118238021638331</v>
      </c>
      <c r="G146" s="5" t="n">
        <f aca="false">IFERROR(IF(OR(B146&lt;=0,D146&lt;=0,B146="",D146=""),"",(D146/B146)^(1/2)-1),"")</f>
        <v>0.175042633626412</v>
      </c>
    </row>
    <row r="147" customFormat="false" ht="15" hidden="false" customHeight="true" outlineLevel="0" collapsed="false">
      <c r="A147" s="3" t="s">
        <v>152</v>
      </c>
      <c r="B147" s="4" t="n">
        <v>4.58</v>
      </c>
      <c r="C147" s="4" t="n">
        <v>5.57</v>
      </c>
      <c r="D147" s="4" t="n">
        <v>6.44</v>
      </c>
      <c r="E147" s="5" t="n">
        <f aca="false">IFERROR(IF(OR(B147=0,B147="",C147=""),"",(C147-B147)/ABS(B147)),"")</f>
        <v>0.216157205240175</v>
      </c>
      <c r="F147" s="5" t="n">
        <f aca="false">IFERROR(IF(OR(C147=0,C147="",D147=""),"",(D147-C147)/ABS(C147)),"")</f>
        <v>0.156193895870736</v>
      </c>
      <c r="G147" s="5" t="n">
        <f aca="false">IFERROR(IF(OR(B147&lt;=0,D147&lt;=0,B147="",D147=""),"",(D147/B147)^(1/2)-1),"")</f>
        <v>0.185796583364071</v>
      </c>
    </row>
    <row r="148" customFormat="false" ht="15" hidden="false" customHeight="true" outlineLevel="0" collapsed="false">
      <c r="A148" s="3" t="s">
        <v>153</v>
      </c>
      <c r="B148" s="4" t="n">
        <v>-0.17</v>
      </c>
      <c r="C148" s="4" t="n">
        <v>-0.14</v>
      </c>
      <c r="D148" s="4" t="n">
        <v>-0.1</v>
      </c>
      <c r="E148" s="5" t="n">
        <f aca="false">IFERROR(IF(OR(B148=0,B148="",C148=""),"",(C148-B148)/ABS(B148)),"")</f>
        <v>0.176470588235294</v>
      </c>
      <c r="F148" s="5" t="n">
        <f aca="false">IFERROR(IF(OR(C148=0,C148="",D148=""),"",(D148-C148)/ABS(C148)),"")</f>
        <v>0.285714285714286</v>
      </c>
      <c r="G148" s="5" t="str">
        <f aca="false">IFERROR(IF(OR(B148&lt;=0,D148&lt;=0,B148="",D148=""),"",(D148/B148)^(1/2)-1),"")</f>
        <v/>
      </c>
    </row>
    <row r="149" customFormat="false" ht="15" hidden="false" customHeight="true" outlineLevel="0" collapsed="false">
      <c r="A149" s="3" t="s">
        <v>154</v>
      </c>
      <c r="B149" s="4" t="n">
        <v>14.76</v>
      </c>
      <c r="C149" s="4" t="n">
        <v>17.63</v>
      </c>
      <c r="D149" s="4" t="n">
        <v>20.62</v>
      </c>
      <c r="E149" s="5" t="n">
        <f aca="false">IFERROR(IF(OR(B149=0,B149="",C149=""),"",(C149-B149)/ABS(B149)),"")</f>
        <v>0.194444444444444</v>
      </c>
      <c r="F149" s="5" t="n">
        <f aca="false">IFERROR(IF(OR(C149=0,C149="",D149=""),"",(D149-C149)/ABS(C149)),"")</f>
        <v>0.169597277368123</v>
      </c>
      <c r="G149" s="5" t="n">
        <f aca="false">IFERROR(IF(OR(B149&lt;=0,D149&lt;=0,B149="",D149=""),"",(D149/B149)^(1/2)-1),"")</f>
        <v>0.181955570311212</v>
      </c>
    </row>
    <row r="150" customFormat="false" ht="15" hidden="false" customHeight="true" outlineLevel="0" collapsed="false">
      <c r="A150" s="3" t="s">
        <v>155</v>
      </c>
      <c r="B150" s="4" t="n">
        <v>3.09</v>
      </c>
      <c r="C150" s="4" t="n">
        <v>4.25</v>
      </c>
      <c r="D150" s="4" t="n">
        <v>5.58</v>
      </c>
      <c r="E150" s="5" t="n">
        <f aca="false">IFERROR(IF(OR(B150=0,B150="",C150=""),"",(C150-B150)/ABS(B150)),"")</f>
        <v>0.375404530744337</v>
      </c>
      <c r="F150" s="5" t="n">
        <f aca="false">IFERROR(IF(OR(C150=0,C150="",D150=""),"",(D150-C150)/ABS(C150)),"")</f>
        <v>0.312941176470588</v>
      </c>
      <c r="G150" s="5" t="n">
        <f aca="false">IFERROR(IF(OR(B150&lt;=0,D150&lt;=0,B150="",D150=""),"",(D150/B150)^(1/2)-1),"")</f>
        <v>0.343809972696455</v>
      </c>
    </row>
    <row r="151" customFormat="false" ht="15" hidden="false" customHeight="true" outlineLevel="0" collapsed="false">
      <c r="A151" s="3" t="s">
        <v>156</v>
      </c>
      <c r="B151" s="4" t="n">
        <v>1.79</v>
      </c>
      <c r="C151" s="4" t="n">
        <v>2.18</v>
      </c>
      <c r="D151" s="4" t="n">
        <v>2.72</v>
      </c>
      <c r="E151" s="5" t="n">
        <f aca="false">IFERROR(IF(OR(B151=0,B151="",C151=""),"",(C151-B151)/ABS(B151)),"")</f>
        <v>0.217877094972067</v>
      </c>
      <c r="F151" s="5" t="n">
        <f aca="false">IFERROR(IF(OR(C151=0,C151="",D151=""),"",(D151-C151)/ABS(C151)),"")</f>
        <v>0.247706422018349</v>
      </c>
      <c r="G151" s="5" t="n">
        <f aca="false">IFERROR(IF(OR(B151&lt;=0,D151&lt;=0,B151="",D151=""),"",(D151/B151)^(1/2)-1),"")</f>
        <v>0.232701534283826</v>
      </c>
    </row>
    <row r="152" customFormat="false" ht="15" hidden="false" customHeight="true" outlineLevel="0" collapsed="false">
      <c r="A152" s="3" t="s">
        <v>157</v>
      </c>
      <c r="B152" s="4" t="n">
        <v>7.13</v>
      </c>
      <c r="C152" s="4" t="n">
        <v>9.5</v>
      </c>
      <c r="D152" s="4" t="n">
        <v>10.96</v>
      </c>
      <c r="E152" s="5" t="n">
        <f aca="false">IFERROR(IF(OR(B152=0,B152="",C152=""),"",(C152-B152)/ABS(B152)),"")</f>
        <v>0.332398316970547</v>
      </c>
      <c r="F152" s="5" t="n">
        <f aca="false">IFERROR(IF(OR(C152=0,C152="",D152=""),"",(D152-C152)/ABS(C152)),"")</f>
        <v>0.153684210526316</v>
      </c>
      <c r="G152" s="5" t="n">
        <f aca="false">IFERROR(IF(OR(B152&lt;=0,D152&lt;=0,B152="",D152=""),"",(D152/B152)^(1/2)-1),"")</f>
        <v>0.239825350773551</v>
      </c>
    </row>
    <row r="153" customFormat="false" ht="15" hidden="false" customHeight="true" outlineLevel="0" collapsed="false">
      <c r="A153" s="3" t="s">
        <v>158</v>
      </c>
      <c r="B153" s="4" t="n">
        <v>7.45</v>
      </c>
      <c r="C153" s="4" t="n">
        <v>8.03</v>
      </c>
      <c r="D153" s="4" t="n">
        <v>10.71</v>
      </c>
      <c r="E153" s="5" t="n">
        <f aca="false">IFERROR(IF(OR(B153=0,B153="",C153=""),"",(C153-B153)/ABS(B153)),"")</f>
        <v>0.0778523489932885</v>
      </c>
      <c r="F153" s="5" t="n">
        <f aca="false">IFERROR(IF(OR(C153=0,C153="",D153=""),"",(D153-C153)/ABS(C153)),"")</f>
        <v>0.333748443337485</v>
      </c>
      <c r="G153" s="5" t="n">
        <f aca="false">IFERROR(IF(OR(B153&lt;=0,D153&lt;=0,B153="",D153=""),"",(D153/B153)^(1/2)-1),"")</f>
        <v>0.198992865957696</v>
      </c>
    </row>
    <row r="154" customFormat="false" ht="15" hidden="false" customHeight="true" outlineLevel="0" collapsed="false">
      <c r="A154" s="3" t="s">
        <v>159</v>
      </c>
      <c r="B154" s="4" t="n">
        <v>0.97</v>
      </c>
      <c r="C154" s="4" t="n">
        <v>1.38</v>
      </c>
      <c r="D154" s="4" t="n">
        <v>1.98</v>
      </c>
      <c r="E154" s="5" t="n">
        <f aca="false">IFERROR(IF(OR(B154=0,B154="",C154=""),"",(C154-B154)/ABS(B154)),"")</f>
        <v>0.422680412371134</v>
      </c>
      <c r="F154" s="5" t="n">
        <f aca="false">IFERROR(IF(OR(C154=0,C154="",D154=""),"",(D154-C154)/ABS(C154)),"")</f>
        <v>0.434782608695652</v>
      </c>
      <c r="G154" s="5" t="n">
        <f aca="false">IFERROR(IF(OR(B154&lt;=0,D154&lt;=0,B154="",D154=""),"",(D154/B154)^(1/2)-1),"")</f>
        <v>0.428718696385703</v>
      </c>
    </row>
    <row r="155" customFormat="false" ht="15" hidden="false" customHeight="true" outlineLevel="0" collapsed="false">
      <c r="A155" s="3" t="s">
        <v>160</v>
      </c>
      <c r="B155" s="4" t="n">
        <v>3.69</v>
      </c>
      <c r="C155" s="4" t="n">
        <v>3.98</v>
      </c>
      <c r="D155" s="4" t="n">
        <v>4.63</v>
      </c>
      <c r="E155" s="5" t="n">
        <f aca="false">IFERROR(IF(OR(B155=0,B155="",C155=""),"",(C155-B155)/ABS(B155)),"")</f>
        <v>0.0785907859078591</v>
      </c>
      <c r="F155" s="5" t="n">
        <f aca="false">IFERROR(IF(OR(C155=0,C155="",D155=""),"",(D155-C155)/ABS(C155)),"")</f>
        <v>0.163316582914573</v>
      </c>
      <c r="G155" s="5" t="n">
        <f aca="false">IFERROR(IF(OR(B155&lt;=0,D155&lt;=0,B155="",D155=""),"",(D155/B155)^(1/2)-1),"")</f>
        <v>0.120152912519302</v>
      </c>
    </row>
    <row r="156" customFormat="false" ht="15" hidden="false" customHeight="true" outlineLevel="0" collapsed="false">
      <c r="A156" s="3" t="s">
        <v>161</v>
      </c>
      <c r="B156" s="4" t="n">
        <v>31.26</v>
      </c>
      <c r="C156" s="4" t="n">
        <v>34.04</v>
      </c>
      <c r="D156" s="4" t="n">
        <v>37.24</v>
      </c>
      <c r="E156" s="5" t="n">
        <f aca="false">IFERROR(IF(OR(B156=0,B156="",C156=""),"",(C156-B156)/ABS(B156)),"")</f>
        <v>0.0889315419065898</v>
      </c>
      <c r="F156" s="5" t="n">
        <f aca="false">IFERROR(IF(OR(C156=0,C156="",D156=""),"",(D156-C156)/ABS(C156)),"")</f>
        <v>0.0940070505287897</v>
      </c>
      <c r="G156" s="5" t="n">
        <f aca="false">IFERROR(IF(OR(B156&lt;=0,D156&lt;=0,B156="",D156=""),"",(D156/B156)^(1/2)-1),"")</f>
        <v>0.0914663459717828</v>
      </c>
    </row>
    <row r="157" customFormat="false" ht="15" hidden="false" customHeight="true" outlineLevel="0" collapsed="false">
      <c r="A157" s="3" t="s">
        <v>162</v>
      </c>
      <c r="B157" s="4" t="n">
        <v>1.46</v>
      </c>
      <c r="C157" s="4" t="n">
        <v>2.07</v>
      </c>
      <c r="D157" s="4" t="n">
        <v>2.98</v>
      </c>
      <c r="E157" s="5" t="n">
        <f aca="false">IFERROR(IF(OR(B157=0,B157="",C157=""),"",(C157-B157)/ABS(B157)),"")</f>
        <v>0.417808219178082</v>
      </c>
      <c r="F157" s="5" t="n">
        <f aca="false">IFERROR(IF(OR(C157=0,C157="",D157=""),"",(D157-C157)/ABS(C157)),"")</f>
        <v>0.439613526570048</v>
      </c>
      <c r="G157" s="5" t="n">
        <f aca="false">IFERROR(IF(OR(B157&lt;=0,D157&lt;=0,B157="",D157=""),"",(D157/B157)^(1/2)-1),"")</f>
        <v>0.428669272578843</v>
      </c>
    </row>
    <row r="158" customFormat="false" ht="15" hidden="false" customHeight="true" outlineLevel="0" collapsed="false">
      <c r="A158" s="3" t="s">
        <v>163</v>
      </c>
      <c r="B158" s="4" t="n">
        <v>8.21</v>
      </c>
      <c r="C158" s="4" t="n">
        <v>9.42</v>
      </c>
      <c r="D158" s="4" t="n">
        <v>9.84</v>
      </c>
      <c r="E158" s="5" t="n">
        <f aca="false">IFERROR(IF(OR(B158=0,B158="",C158=""),"",(C158-B158)/ABS(B158)),"")</f>
        <v>0.147381242387332</v>
      </c>
      <c r="F158" s="5" t="n">
        <f aca="false">IFERROR(IF(OR(C158=0,C158="",D158=""),"",(D158-C158)/ABS(C158)),"")</f>
        <v>0.0445859872611465</v>
      </c>
      <c r="G158" s="5" t="n">
        <f aca="false">IFERROR(IF(OR(B158&lt;=0,D158&lt;=0,B158="",D158=""),"",(D158/B158)^(1/2)-1),"")</f>
        <v>0.0947777709855513</v>
      </c>
    </row>
    <row r="159" customFormat="false" ht="15" hidden="false" customHeight="true" outlineLevel="0" collapsed="false">
      <c r="A159" s="3" t="s">
        <v>164</v>
      </c>
      <c r="B159" s="4" t="n">
        <v>14.03</v>
      </c>
      <c r="C159" s="4" t="n">
        <v>16.45</v>
      </c>
      <c r="D159" s="4" t="n">
        <v>19.84</v>
      </c>
      <c r="E159" s="5" t="n">
        <f aca="false">IFERROR(IF(OR(B159=0,B159="",C159=""),"",(C159-B159)/ABS(B159)),"")</f>
        <v>0.172487526728439</v>
      </c>
      <c r="F159" s="5" t="n">
        <f aca="false">IFERROR(IF(OR(C159=0,C159="",D159=""),"",(D159-C159)/ABS(C159)),"")</f>
        <v>0.206079027355623</v>
      </c>
      <c r="G159" s="5" t="n">
        <f aca="false">IFERROR(IF(OR(B159&lt;=0,D159&lt;=0,B159="",D159=""),"",(D159/B159)^(1/2)-1),"")</f>
        <v>0.189164671449348</v>
      </c>
    </row>
    <row r="160" customFormat="false" ht="15" hidden="false" customHeight="true" outlineLevel="0" collapsed="false">
      <c r="A160" s="3" t="s">
        <v>165</v>
      </c>
      <c r="B160" s="4" t="n">
        <v>5.3</v>
      </c>
      <c r="C160" s="4" t="n">
        <v>5.78</v>
      </c>
      <c r="D160" s="4" t="n">
        <v>6.27</v>
      </c>
      <c r="E160" s="5" t="n">
        <f aca="false">IFERROR(IF(OR(B160=0,B160="",C160=""),"",(C160-B160)/ABS(B160)),"")</f>
        <v>0.0905660377358491</v>
      </c>
      <c r="F160" s="5" t="n">
        <f aca="false">IFERROR(IF(OR(C160=0,C160="",D160=""),"",(D160-C160)/ABS(C160)),"")</f>
        <v>0.0847750865051902</v>
      </c>
      <c r="G160" s="5" t="n">
        <f aca="false">IFERROR(IF(OR(B160&lt;=0,D160&lt;=0,B160="",D160=""),"",(D160/B160)^(1/2)-1),"")</f>
        <v>0.0876667081070965</v>
      </c>
    </row>
    <row r="161" customFormat="false" ht="15" hidden="false" customHeight="true" outlineLevel="0" collapsed="false">
      <c r="A161" s="3" t="s">
        <v>166</v>
      </c>
      <c r="B161" s="4" t="n">
        <v>10.8</v>
      </c>
      <c r="C161" s="4" t="n">
        <v>10.64</v>
      </c>
      <c r="D161" s="4" t="n">
        <v>12.06</v>
      </c>
      <c r="E161" s="5" t="n">
        <f aca="false">IFERROR(IF(OR(B161=0,B161="",C161=""),"",(C161-B161)/ABS(B161)),"")</f>
        <v>-0.0148148148148148</v>
      </c>
      <c r="F161" s="5" t="n">
        <f aca="false">IFERROR(IF(OR(C161=0,C161="",D161=""),"",(D161-C161)/ABS(C161)),"")</f>
        <v>0.133458646616541</v>
      </c>
      <c r="G161" s="5" t="n">
        <f aca="false">IFERROR(IF(OR(B161&lt;=0,D161&lt;=0,B161="",D161=""),"",(D161/B161)^(1/2)-1),"")</f>
        <v>0.0567244989431572</v>
      </c>
    </row>
    <row r="162" customFormat="false" ht="15" hidden="false" customHeight="true" outlineLevel="0" collapsed="false">
      <c r="A162" s="3" t="s">
        <v>167</v>
      </c>
      <c r="B162" s="4" t="n">
        <v>11.17</v>
      </c>
      <c r="C162" s="4" t="n">
        <v>12.24</v>
      </c>
      <c r="D162" s="4" t="n">
        <v>13.13</v>
      </c>
      <c r="E162" s="5" t="n">
        <f aca="false">IFERROR(IF(OR(B162=0,B162="",C162=""),"",(C162-B162)/ABS(B162)),"")</f>
        <v>0.0957923008057297</v>
      </c>
      <c r="F162" s="5" t="n">
        <f aca="false">IFERROR(IF(OR(C162=0,C162="",D162=""),"",(D162-C162)/ABS(C162)),"")</f>
        <v>0.0727124183006536</v>
      </c>
      <c r="G162" s="5" t="n">
        <f aca="false">IFERROR(IF(OR(B162&lt;=0,D162&lt;=0,B162="",D162=""),"",(D162/B162)^(1/2)-1),"")</f>
        <v>0.0841909467213566</v>
      </c>
    </row>
    <row r="163" customFormat="false" ht="15" hidden="false" customHeight="true" outlineLevel="0" collapsed="false">
      <c r="A163" s="3" t="s">
        <v>168</v>
      </c>
      <c r="B163" s="4" t="n">
        <v>17.33</v>
      </c>
      <c r="C163" s="4" t="n">
        <v>20.01</v>
      </c>
      <c r="D163" s="4" t="n">
        <v>22.74</v>
      </c>
      <c r="E163" s="5" t="n">
        <f aca="false">IFERROR(IF(OR(B163=0,B163="",C163=""),"",(C163-B163)/ABS(B163)),"")</f>
        <v>0.15464512406232</v>
      </c>
      <c r="F163" s="5" t="n">
        <f aca="false">IFERROR(IF(OR(C163=0,C163="",D163=""),"",(D163-C163)/ABS(C163)),"")</f>
        <v>0.136431784107946</v>
      </c>
      <c r="G163" s="5" t="n">
        <f aca="false">IFERROR(IF(OR(B163&lt;=0,D163&lt;=0,B163="",D163=""),"",(D163/B163)^(1/2)-1),"")</f>
        <v>0.145502255933913</v>
      </c>
    </row>
    <row r="164" customFormat="false" ht="15" hidden="false" customHeight="true" outlineLevel="0" collapsed="false">
      <c r="A164" s="3" t="s">
        <v>169</v>
      </c>
      <c r="B164" s="4" t="n">
        <v>8.5</v>
      </c>
      <c r="C164" s="4" t="n">
        <v>8.47</v>
      </c>
      <c r="D164" s="4" t="n">
        <v>8.36</v>
      </c>
      <c r="E164" s="5" t="n">
        <f aca="false">IFERROR(IF(OR(B164=0,B164="",C164=""),"",(C164-B164)/ABS(B164)),"")</f>
        <v>-0.00352941176470581</v>
      </c>
      <c r="F164" s="5" t="n">
        <f aca="false">IFERROR(IF(OR(C164=0,C164="",D164=""),"",(D164-C164)/ABS(C164)),"")</f>
        <v>-0.0129870129870131</v>
      </c>
      <c r="G164" s="5" t="n">
        <f aca="false">IFERROR(IF(OR(B164&lt;=0,D164&lt;=0,B164="",D164=""),"",(D164/B164)^(1/2)-1),"")</f>
        <v>-0.00826948631964253</v>
      </c>
    </row>
    <row r="165" customFormat="false" ht="15" hidden="false" customHeight="true" outlineLevel="0" collapsed="false">
      <c r="A165" s="3" t="s">
        <v>170</v>
      </c>
      <c r="B165" s="4" t="n">
        <v>-0.12</v>
      </c>
      <c r="C165" s="4" t="n">
        <v>-0.01</v>
      </c>
      <c r="D165" s="4" t="n">
        <v>0.17</v>
      </c>
      <c r="E165" s="5" t="n">
        <f aca="false">IFERROR(IF(OR(B165=0,B165="",C165=""),"",(C165-B165)/ABS(B165)),"")</f>
        <v>0.916666666666667</v>
      </c>
      <c r="F165" s="5" t="n">
        <f aca="false">IFERROR(IF(OR(C165=0,C165="",D165=""),"",(D165-C165)/ABS(C165)),"")</f>
        <v>18</v>
      </c>
      <c r="G165" s="5" t="str">
        <f aca="false">IFERROR(IF(OR(B165&lt;=0,D165&lt;=0,B165="",D165=""),"",(D165/B165)^(1/2)-1),"")</f>
        <v/>
      </c>
    </row>
    <row r="166" customFormat="false" ht="15" hidden="false" customHeight="true" outlineLevel="0" collapsed="false">
      <c r="A166" s="3" t="s">
        <v>171</v>
      </c>
      <c r="B166" s="4" t="n">
        <v>18.39</v>
      </c>
      <c r="C166" s="4" t="n">
        <v>20.34</v>
      </c>
      <c r="D166" s="4" t="n">
        <v>21.85</v>
      </c>
      <c r="E166" s="5" t="n">
        <f aca="false">IFERROR(IF(OR(B166=0,B166="",C166=""),"",(C166-B166)/ABS(B166)),"")</f>
        <v>0.106035889070147</v>
      </c>
      <c r="F166" s="5" t="n">
        <f aca="false">IFERROR(IF(OR(C166=0,C166="",D166=""),"",(D166-C166)/ABS(C166)),"")</f>
        <v>0.0742379547689283</v>
      </c>
      <c r="G166" s="5" t="n">
        <f aca="false">IFERROR(IF(OR(B166&lt;=0,D166&lt;=0,B166="",D166=""),"",(D166/B166)^(1/2)-1),"")</f>
        <v>0.0900209774934369</v>
      </c>
    </row>
    <row r="167" customFormat="false" ht="15" hidden="false" customHeight="true" outlineLevel="0" collapsed="false">
      <c r="A167" s="3" t="s">
        <v>172</v>
      </c>
      <c r="B167" s="4" t="n">
        <v>2.93</v>
      </c>
      <c r="C167" s="4" t="n">
        <v>3.64</v>
      </c>
      <c r="D167" s="4" t="n">
        <v>4.68</v>
      </c>
      <c r="E167" s="5" t="n">
        <f aca="false">IFERROR(IF(OR(B167=0,B167="",C167=""),"",(C167-B167)/ABS(B167)),"")</f>
        <v>0.242320819112628</v>
      </c>
      <c r="F167" s="5" t="n">
        <f aca="false">IFERROR(IF(OR(C167=0,C167="",D167=""),"",(D167-C167)/ABS(C167)),"")</f>
        <v>0.285714285714286</v>
      </c>
      <c r="G167" s="5" t="n">
        <f aca="false">IFERROR(IF(OR(B167&lt;=0,D167&lt;=0,B167="",D167=""),"",(D167/B167)^(1/2)-1),"")</f>
        <v>0.263831327580298</v>
      </c>
    </row>
    <row r="168" customFormat="false" ht="15" hidden="false" customHeight="true" outlineLevel="0" collapsed="false">
      <c r="A168" s="3" t="s">
        <v>173</v>
      </c>
      <c r="B168" s="4" t="n">
        <v>51.85</v>
      </c>
      <c r="C168" s="4" t="n">
        <v>59.96</v>
      </c>
      <c r="D168" s="4" t="n">
        <v>66.16</v>
      </c>
      <c r="E168" s="5" t="n">
        <f aca="false">IFERROR(IF(OR(B168=0,B168="",C168=""),"",(C168-B168)/ABS(B168)),"")</f>
        <v>0.156412729026037</v>
      </c>
      <c r="F168" s="5" t="n">
        <f aca="false">IFERROR(IF(OR(C168=0,C168="",D168=""),"",(D168-C168)/ABS(C168)),"")</f>
        <v>0.103402268178786</v>
      </c>
      <c r="G168" s="5" t="n">
        <f aca="false">IFERROR(IF(OR(B168&lt;=0,D168&lt;=0,B168="",D168=""),"",(D168/B168)^(1/2)-1),"")</f>
        <v>0.129596577614393</v>
      </c>
    </row>
    <row r="169" customFormat="false" ht="15" hidden="false" customHeight="true" outlineLevel="0" collapsed="false">
      <c r="A169" s="3" t="s">
        <v>174</v>
      </c>
      <c r="B169" s="4" t="n">
        <v>12.98</v>
      </c>
      <c r="C169" s="4" t="n">
        <v>14.51</v>
      </c>
      <c r="D169" s="4" t="n">
        <v>16.36</v>
      </c>
      <c r="E169" s="5" t="n">
        <f aca="false">IFERROR(IF(OR(B169=0,B169="",C169=""),"",(C169-B169)/ABS(B169)),"")</f>
        <v>0.117873651771957</v>
      </c>
      <c r="F169" s="5" t="n">
        <f aca="false">IFERROR(IF(OR(C169=0,C169="",D169=""),"",(D169-C169)/ABS(C169)),"")</f>
        <v>0.12749827705031</v>
      </c>
      <c r="G169" s="5" t="n">
        <f aca="false">IFERROR(IF(OR(B169&lt;=0,D169&lt;=0,B169="",D169=""),"",(D169/B169)^(1/2)-1),"")</f>
        <v>0.122675650547753</v>
      </c>
    </row>
    <row r="170" customFormat="false" ht="15" hidden="false" customHeight="true" outlineLevel="0" collapsed="false">
      <c r="A170" s="3" t="s">
        <v>175</v>
      </c>
      <c r="B170" s="4" t="n">
        <v>7.77</v>
      </c>
      <c r="C170" s="4" t="n">
        <v>8.56</v>
      </c>
      <c r="D170" s="4" t="n">
        <v>9.14</v>
      </c>
      <c r="E170" s="5" t="n">
        <f aca="false">IFERROR(IF(OR(B170=0,B170="",C170=""),"",(C170-B170)/ABS(B170)),"")</f>
        <v>0.101673101673102</v>
      </c>
      <c r="F170" s="5" t="n">
        <f aca="false">IFERROR(IF(OR(C170=0,C170="",D170=""),"",(D170-C170)/ABS(C170)),"")</f>
        <v>0.0677570093457944</v>
      </c>
      <c r="G170" s="5" t="n">
        <f aca="false">IFERROR(IF(OR(B170&lt;=0,D170&lt;=0,B170="",D170=""),"",(D170/B170)^(1/2)-1),"")</f>
        <v>0.0845824894028009</v>
      </c>
    </row>
    <row r="171" customFormat="false" ht="15" hidden="false" customHeight="true" outlineLevel="0" collapsed="false">
      <c r="A171" s="3" t="s">
        <v>176</v>
      </c>
      <c r="B171" s="4" t="n">
        <v>11.2</v>
      </c>
      <c r="C171" s="4" t="n">
        <v>13.02</v>
      </c>
      <c r="D171" s="4" t="n">
        <v>12.29</v>
      </c>
      <c r="E171" s="5" t="n">
        <f aca="false">IFERROR(IF(OR(B171=0,B171="",C171=""),"",(C171-B171)/ABS(B171)),"")</f>
        <v>0.1625</v>
      </c>
      <c r="F171" s="5" t="n">
        <f aca="false">IFERROR(IF(OR(C171=0,C171="",D171=""),"",(D171-C171)/ABS(C171)),"")</f>
        <v>-0.0560675883256529</v>
      </c>
      <c r="G171" s="5" t="n">
        <f aca="false">IFERROR(IF(OR(B171&lt;=0,D171&lt;=0,B171="",D171=""),"",(D171/B171)^(1/2)-1),"")</f>
        <v>0.0475311110279391</v>
      </c>
    </row>
    <row r="172" customFormat="false" ht="15" hidden="false" customHeight="true" outlineLevel="0" collapsed="false">
      <c r="A172" s="3" t="s">
        <v>177</v>
      </c>
      <c r="B172" s="4" t="n">
        <v>2.39</v>
      </c>
      <c r="C172" s="4" t="n">
        <v>3.03</v>
      </c>
      <c r="D172" s="4" t="n">
        <v>3.69</v>
      </c>
      <c r="E172" s="5" t="n">
        <f aca="false">IFERROR(IF(OR(B172=0,B172="",C172=""),"",(C172-B172)/ABS(B172)),"")</f>
        <v>0.267782426778243</v>
      </c>
      <c r="F172" s="5" t="n">
        <f aca="false">IFERROR(IF(OR(C172=0,C172="",D172=""),"",(D172-C172)/ABS(C172)),"")</f>
        <v>0.217821782178218</v>
      </c>
      <c r="G172" s="5" t="n">
        <f aca="false">IFERROR(IF(OR(B172&lt;=0,D172&lt;=0,B172="",D172=""),"",(D172/B172)^(1/2)-1),"")</f>
        <v>0.242551026877088</v>
      </c>
    </row>
    <row r="173" customFormat="false" ht="15" hidden="false" customHeight="true" outlineLevel="0" collapsed="false">
      <c r="A173" s="3" t="s">
        <v>178</v>
      </c>
      <c r="B173" s="4" t="n">
        <v>3.97</v>
      </c>
      <c r="C173" s="4" t="n">
        <v>5.19</v>
      </c>
      <c r="D173" s="4" t="n">
        <v>6.71</v>
      </c>
      <c r="E173" s="5" t="n">
        <f aca="false">IFERROR(IF(OR(B173=0,B173="",C173=""),"",(C173-B173)/ABS(B173)),"")</f>
        <v>0.307304785894207</v>
      </c>
      <c r="F173" s="5" t="n">
        <f aca="false">IFERROR(IF(OR(C173=0,C173="",D173=""),"",(D173-C173)/ABS(C173)),"")</f>
        <v>0.292870905587669</v>
      </c>
      <c r="G173" s="5" t="n">
        <f aca="false">IFERROR(IF(OR(B173&lt;=0,D173&lt;=0,B173="",D173=""),"",(D173/B173)^(1/2)-1),"")</f>
        <v>0.300067814545894</v>
      </c>
    </row>
    <row r="174" customFormat="false" ht="15" hidden="false" customHeight="true" outlineLevel="0" collapsed="false">
      <c r="A174" s="3" t="s">
        <v>179</v>
      </c>
      <c r="B174" s="4" t="n">
        <v>5.1</v>
      </c>
      <c r="C174" s="4" t="n">
        <v>6.47</v>
      </c>
      <c r="D174" s="4"/>
      <c r="E174" s="5" t="n">
        <f aca="false">IFERROR(IF(OR(B174=0,B174="",C174=""),"",(C174-B174)/ABS(B174)),"")</f>
        <v>0.268627450980392</v>
      </c>
      <c r="F174" s="5" t="str">
        <f aca="false">IFERROR(IF(OR(C174=0,C174="",D174=""),"",(D174-C174)/ABS(C174)),"")</f>
        <v/>
      </c>
      <c r="G174" s="5" t="str">
        <f aca="false">IFERROR(IF(OR(B174&lt;=0,D174&lt;=0,B174="",D174=""),"",(D174/B174)^(1/2)-1),"")</f>
        <v/>
      </c>
    </row>
    <row r="175" customFormat="false" ht="15" hidden="false" customHeight="true" outlineLevel="0" collapsed="false">
      <c r="A175" s="3" t="s">
        <v>180</v>
      </c>
      <c r="B175" s="4" t="n">
        <v>8.71</v>
      </c>
      <c r="C175" s="4" t="n">
        <v>9.67</v>
      </c>
      <c r="D175" s="4" t="n">
        <v>11.73</v>
      </c>
      <c r="E175" s="5" t="n">
        <f aca="false">IFERROR(IF(OR(B175=0,B175="",C175=""),"",(C175-B175)/ABS(B175)),"")</f>
        <v>0.110218140068886</v>
      </c>
      <c r="F175" s="5" t="n">
        <f aca="false">IFERROR(IF(OR(C175=0,C175="",D175=""),"",(D175-C175)/ABS(C175)),"")</f>
        <v>0.213029989658738</v>
      </c>
      <c r="G175" s="5" t="n">
        <f aca="false">IFERROR(IF(OR(B175&lt;=0,D175&lt;=0,B175="",D175=""),"",(D175/B175)^(1/2)-1),"")</f>
        <v>0.160486061513323</v>
      </c>
    </row>
    <row r="176" customFormat="false" ht="15" hidden="false" customHeight="true" outlineLevel="0" collapsed="false">
      <c r="A176" s="3" t="s">
        <v>181</v>
      </c>
      <c r="B176" s="4" t="n">
        <v>65.01</v>
      </c>
      <c r="C176" s="4" t="n">
        <v>175.38</v>
      </c>
      <c r="D176" s="4" t="n">
        <v>182.89</v>
      </c>
      <c r="E176" s="5" t="n">
        <f aca="false">IFERROR(IF(OR(B176=0,B176="",C176=""),"",(C176-B176)/ABS(B176)),"")</f>
        <v>1.69773880941394</v>
      </c>
      <c r="F176" s="5" t="n">
        <f aca="false">IFERROR(IF(OR(C176=0,C176="",D176=""),"",(D176-C176)/ABS(C176)),"")</f>
        <v>0.0428213023149732</v>
      </c>
      <c r="G176" s="5" t="n">
        <f aca="false">IFERROR(IF(OR(B176&lt;=0,D176&lt;=0,B176="",D176=""),"",(D176/B176)^(1/2)-1),"")</f>
        <v>0.677277406554648</v>
      </c>
    </row>
    <row r="177" customFormat="false" ht="15" hidden="false" customHeight="true" outlineLevel="0" collapsed="false">
      <c r="A177" s="3" t="s">
        <v>182</v>
      </c>
      <c r="B177" s="4" t="n">
        <v>1.79</v>
      </c>
      <c r="C177" s="4" t="n">
        <v>2.42</v>
      </c>
      <c r="D177" s="4" t="n">
        <v>3.33</v>
      </c>
      <c r="E177" s="5" t="n">
        <f aca="false">IFERROR(IF(OR(B177=0,B177="",C177=""),"",(C177-B177)/ABS(B177)),"")</f>
        <v>0.35195530726257</v>
      </c>
      <c r="F177" s="5" t="n">
        <f aca="false">IFERROR(IF(OR(C177=0,C177="",D177=""),"",(D177-C177)/ABS(C177)),"")</f>
        <v>0.37603305785124</v>
      </c>
      <c r="G177" s="5" t="n">
        <f aca="false">IFERROR(IF(OR(B177&lt;=0,D177&lt;=0,B177="",D177=""),"",(D177/B177)^(1/2)-1),"")</f>
        <v>0.363941052806435</v>
      </c>
    </row>
    <row r="178" customFormat="false" ht="15" hidden="false" customHeight="true" outlineLevel="0" collapsed="false">
      <c r="A178" s="3" t="s">
        <v>183</v>
      </c>
      <c r="B178" s="4" t="n">
        <v>0.58</v>
      </c>
      <c r="C178" s="4" t="n">
        <v>0.78</v>
      </c>
      <c r="D178" s="4" t="n">
        <v>0.98</v>
      </c>
      <c r="E178" s="5" t="n">
        <f aca="false">IFERROR(IF(OR(B178=0,B178="",C178=""),"",(C178-B178)/ABS(B178)),"")</f>
        <v>0.344827586206897</v>
      </c>
      <c r="F178" s="5" t="n">
        <f aca="false">IFERROR(IF(OR(C178=0,C178="",D178=""),"",(D178-C178)/ABS(C178)),"")</f>
        <v>0.256410256410256</v>
      </c>
      <c r="G178" s="5" t="n">
        <f aca="false">IFERROR(IF(OR(B178&lt;=0,D178&lt;=0,B178="",D178=""),"",(D178/B178)^(1/2)-1),"")</f>
        <v>0.299867367239363</v>
      </c>
    </row>
    <row r="179" customFormat="false" ht="15" hidden="false" customHeight="true" outlineLevel="0" collapsed="false">
      <c r="A179" s="3" t="s">
        <v>184</v>
      </c>
      <c r="B179" s="4" t="n">
        <v>14.93</v>
      </c>
      <c r="C179" s="4" t="n">
        <v>18.44</v>
      </c>
      <c r="D179" s="4" t="n">
        <v>22.62</v>
      </c>
      <c r="E179" s="5" t="n">
        <f aca="false">IFERROR(IF(OR(B179=0,B179="",C179=""),"",(C179-B179)/ABS(B179)),"")</f>
        <v>0.235097119892833</v>
      </c>
      <c r="F179" s="5" t="n">
        <f aca="false">IFERROR(IF(OR(C179=0,C179="",D179=""),"",(D179-C179)/ABS(C179)),"")</f>
        <v>0.226681127982646</v>
      </c>
      <c r="G179" s="5" t="n">
        <f aca="false">IFERROR(IF(OR(B179&lt;=0,D179&lt;=0,B179="",D179=""),"",(D179/B179)^(1/2)-1),"")</f>
        <v>0.230881931055233</v>
      </c>
    </row>
    <row r="180" customFormat="false" ht="15" hidden="false" customHeight="true" outlineLevel="0" collapsed="false">
      <c r="A180" s="3" t="s">
        <v>185</v>
      </c>
      <c r="B180" s="4" t="n">
        <v>1.2</v>
      </c>
      <c r="C180" s="4" t="n">
        <v>2.27</v>
      </c>
      <c r="D180" s="4" t="n">
        <v>3.18</v>
      </c>
      <c r="E180" s="5" t="n">
        <f aca="false">IFERROR(IF(OR(B180=0,B180="",C180=""),"",(C180-B180)/ABS(B180)),"")</f>
        <v>0.891666666666667</v>
      </c>
      <c r="F180" s="5" t="n">
        <f aca="false">IFERROR(IF(OR(C180=0,C180="",D180=""),"",(D180-C180)/ABS(C180)),"")</f>
        <v>0.400881057268723</v>
      </c>
      <c r="G180" s="5" t="n">
        <f aca="false">IFERROR(IF(OR(B180&lt;=0,D180&lt;=0,B180="",D180=""),"",(D180/B180)^(1/2)-1),"")</f>
        <v>0.627882059609971</v>
      </c>
    </row>
    <row r="181" customFormat="false" ht="15" hidden="false" customHeight="true" outlineLevel="0" collapsed="false">
      <c r="A181" s="3" t="s">
        <v>186</v>
      </c>
      <c r="B181" s="4" t="n">
        <v>18.72</v>
      </c>
      <c r="C181" s="4" t="n">
        <v>22.41</v>
      </c>
      <c r="D181" s="4" t="n">
        <v>20.76</v>
      </c>
      <c r="E181" s="5" t="n">
        <f aca="false">IFERROR(IF(OR(B181=0,B181="",C181=""),"",(C181-B181)/ABS(B181)),"")</f>
        <v>0.197115384615385</v>
      </c>
      <c r="F181" s="5" t="n">
        <f aca="false">IFERROR(IF(OR(C181=0,C181="",D181=""),"",(D181-C181)/ABS(C181)),"")</f>
        <v>-0.073627844712182</v>
      </c>
      <c r="G181" s="5" t="n">
        <f aca="false">IFERROR(IF(OR(B181&lt;=0,D181&lt;=0,B181="",D181=""),"",(D181/B181)^(1/2)-1),"")</f>
        <v>0.0530785151043387</v>
      </c>
    </row>
    <row r="182" customFormat="false" ht="15" hidden="false" customHeight="true" outlineLevel="0" collapsed="false">
      <c r="A182" s="3" t="s">
        <v>187</v>
      </c>
      <c r="B182" s="4" t="n">
        <v>14.87</v>
      </c>
      <c r="C182" s="4" t="n">
        <v>26.18</v>
      </c>
      <c r="D182" s="4" t="n">
        <v>38.92</v>
      </c>
      <c r="E182" s="5" t="n">
        <f aca="false">IFERROR(IF(OR(B182=0,B182="",C182=""),"",(C182-B182)/ABS(B182)),"")</f>
        <v>0.760591795561533</v>
      </c>
      <c r="F182" s="5" t="n">
        <f aca="false">IFERROR(IF(OR(C182=0,C182="",D182=""),"",(D182-C182)/ABS(C182)),"")</f>
        <v>0.486631016042781</v>
      </c>
      <c r="G182" s="5" t="n">
        <f aca="false">IFERROR(IF(OR(B182&lt;=0,D182&lt;=0,B182="",D182=""),"",(D182/B182)^(1/2)-1),"")</f>
        <v>0.617822725106872</v>
      </c>
    </row>
    <row r="183" customFormat="false" ht="15" hidden="false" customHeight="true" outlineLevel="0" collapsed="false">
      <c r="A183" s="3" t="s">
        <v>188</v>
      </c>
      <c r="B183" s="4" t="n">
        <v>7.2</v>
      </c>
      <c r="C183" s="4" t="n">
        <v>5.37</v>
      </c>
      <c r="D183" s="4" t="n">
        <v>6.3</v>
      </c>
      <c r="E183" s="5" t="n">
        <f aca="false">IFERROR(IF(OR(B183=0,B183="",C183=""),"",(C183-B183)/ABS(B183)),"")</f>
        <v>-0.254166666666667</v>
      </c>
      <c r="F183" s="5" t="n">
        <f aca="false">IFERROR(IF(OR(C183=0,C183="",D183=""),"",(D183-C183)/ABS(C183)),"")</f>
        <v>0.173184357541899</v>
      </c>
      <c r="G183" s="5" t="n">
        <f aca="false">IFERROR(IF(OR(B183&lt;=0,D183&lt;=0,B183="",D183=""),"",(D183/B183)^(1/2)-1),"")</f>
        <v>-0.0645856533065147</v>
      </c>
    </row>
    <row r="184" customFormat="false" ht="15" hidden="false" customHeight="false" outlineLevel="0" collapsed="false">
      <c r="A184" s="3" t="s">
        <v>189</v>
      </c>
      <c r="B184" s="4" t="n">
        <v>24.16</v>
      </c>
      <c r="C184" s="4" t="n">
        <v>26.06</v>
      </c>
      <c r="D184" s="4" t="n">
        <v>28.4</v>
      </c>
      <c r="E184" s="5" t="n">
        <f aca="false">IFERROR(IF(OR(B184=0,B184="",C184=""),"",(C184-B184)/ABS(B184)),"")</f>
        <v>0.0786423841059602</v>
      </c>
      <c r="F184" s="5" t="n">
        <f aca="false">IFERROR(IF(OR(C184=0,C184="",D184=""),"",(D184-C184)/ABS(C184)),"")</f>
        <v>0.0897927858787414</v>
      </c>
      <c r="G184" s="5" t="n">
        <f aca="false">IFERROR(IF(OR(B184&lt;=0,D184&lt;=0,B184="",D184=""),"",(D184/B184)^(1/2)-1),"")</f>
        <v>0.084203250660005</v>
      </c>
    </row>
    <row r="185" customFormat="false" ht="15" hidden="false" customHeight="false" outlineLevel="0" collapsed="false">
      <c r="A185" s="3" t="s">
        <v>190</v>
      </c>
      <c r="B185" s="4" t="n">
        <v>11.24</v>
      </c>
      <c r="C185" s="4" t="n">
        <v>12.63</v>
      </c>
      <c r="D185" s="4" t="n">
        <v>14.02</v>
      </c>
      <c r="E185" s="5" t="n">
        <f aca="false">IFERROR(IF(OR(B185=0,B185="",C185=""),"",(C185-B185)/ABS(B185)),"")</f>
        <v>0.123665480427046</v>
      </c>
      <c r="F185" s="5" t="n">
        <f aca="false">IFERROR(IF(OR(C185=0,C185="",D185=""),"",(D185-C185)/ABS(C185)),"")</f>
        <v>0.110055423594616</v>
      </c>
      <c r="G185" s="5" t="n">
        <f aca="false">IFERROR(IF(OR(B185&lt;=0,D185&lt;=0,B185="",D185=""),"",(D185/B185)^(1/2)-1),"")</f>
        <v>0.116839720306407</v>
      </c>
    </row>
    <row r="186" customFormat="false" ht="15" hidden="false" customHeight="false" outlineLevel="0" collapsed="false">
      <c r="A186" s="3" t="s">
        <v>191</v>
      </c>
      <c r="B186" s="4" t="n">
        <v>7.18</v>
      </c>
      <c r="C186" s="4" t="n">
        <v>9.51</v>
      </c>
      <c r="D186" s="4" t="n">
        <v>12.26</v>
      </c>
      <c r="E186" s="5" t="n">
        <f aca="false">IFERROR(IF(OR(B186=0,B186="",C186=""),"",(C186-B186)/ABS(B186)),"")</f>
        <v>0.324512534818942</v>
      </c>
      <c r="F186" s="5" t="n">
        <f aca="false">IFERROR(IF(OR(C186=0,C186="",D186=""),"",(D186-C186)/ABS(C186)),"")</f>
        <v>0.289169295478444</v>
      </c>
      <c r="G186" s="5" t="n">
        <f aca="false">IFERROR(IF(OR(B186&lt;=0,D186&lt;=0,B186="",D186=""),"",(D186/B186)^(1/2)-1),"")</f>
        <v>0.306721428371366</v>
      </c>
    </row>
    <row r="187" customFormat="false" ht="15" hidden="false" customHeight="false" outlineLevel="0" collapsed="false">
      <c r="A187" s="3" t="s">
        <v>192</v>
      </c>
      <c r="B187" s="4" t="n">
        <v>5.22</v>
      </c>
      <c r="C187" s="4" t="n">
        <v>5.75</v>
      </c>
      <c r="D187" s="4" t="n">
        <v>6.37</v>
      </c>
      <c r="E187" s="5" t="n">
        <f aca="false">IFERROR(IF(OR(B187=0,B187="",C187=""),"",(C187-B187)/ABS(B187)),"")</f>
        <v>0.101532567049808</v>
      </c>
      <c r="F187" s="5" t="n">
        <f aca="false">IFERROR(IF(OR(C187=0,C187="",D187=""),"",(D187-C187)/ABS(C187)),"")</f>
        <v>0.107826086956522</v>
      </c>
      <c r="G187" s="5" t="n">
        <f aca="false">IFERROR(IF(OR(B187&lt;=0,D187&lt;=0,B187="",D187=""),"",(D187/B187)^(1/2)-1),"")</f>
        <v>0.104674845105998</v>
      </c>
    </row>
    <row r="188" customFormat="false" ht="15" hidden="false" customHeight="false" outlineLevel="0" collapsed="false">
      <c r="A188" s="3" t="s">
        <v>193</v>
      </c>
      <c r="B188" s="4" t="n">
        <v>2.17</v>
      </c>
      <c r="C188" s="4" t="n">
        <v>3.55</v>
      </c>
      <c r="D188" s="4" t="n">
        <v>4.95</v>
      </c>
      <c r="E188" s="5" t="n">
        <f aca="false">IFERROR(IF(OR(B188=0,B188="",C188=""),"",(C188-B188)/ABS(B188)),"")</f>
        <v>0.63594470046083</v>
      </c>
      <c r="F188" s="5" t="n">
        <f aca="false">IFERROR(IF(OR(C188=0,C188="",D188=""),"",(D188-C188)/ABS(C188)),"")</f>
        <v>0.394366197183099</v>
      </c>
      <c r="G188" s="5" t="n">
        <f aca="false">IFERROR(IF(OR(B188&lt;=0,D188&lt;=0,B188="",D188=""),"",(D188/B188)^(1/2)-1),"")</f>
        <v>0.510333072796663</v>
      </c>
    </row>
    <row r="189" customFormat="false" ht="15" hidden="false" customHeight="false" outlineLevel="0" collapsed="false">
      <c r="A189" s="3" t="s">
        <v>194</v>
      </c>
      <c r="B189" s="4" t="n">
        <v>5.07</v>
      </c>
      <c r="C189" s="4" t="n">
        <v>6.02</v>
      </c>
      <c r="D189" s="4" t="n">
        <v>8.05</v>
      </c>
      <c r="E189" s="5" t="n">
        <f aca="false">IFERROR(IF(OR(B189=0,B189="",C189=""),"",(C189-B189)/ABS(B189)),"")</f>
        <v>0.187376725838264</v>
      </c>
      <c r="F189" s="5" t="n">
        <f aca="false">IFERROR(IF(OR(C189=0,C189="",D189=""),"",(D189-C189)/ABS(C189)),"")</f>
        <v>0.337209302325582</v>
      </c>
      <c r="G189" s="5" t="n">
        <f aca="false">IFERROR(IF(OR(B189&lt;=0,D189&lt;=0,B189="",D189=""),"",(D189/B189)^(1/2)-1),"")</f>
        <v>0.260067935928781</v>
      </c>
    </row>
    <row r="190" customFormat="false" ht="15" hidden="false" customHeight="false" outlineLevel="0" collapsed="false">
      <c r="A190" s="3" t="s">
        <v>195</v>
      </c>
      <c r="B190" s="4" t="n">
        <v>6.97</v>
      </c>
      <c r="C190" s="4" t="n">
        <v>7.67</v>
      </c>
      <c r="D190" s="4" t="n">
        <v>8.66</v>
      </c>
      <c r="E190" s="5" t="n">
        <f aca="false">IFERROR(IF(OR(B190=0,B190="",C190=""),"",(C190-B190)/ABS(B190)),"")</f>
        <v>0.100430416068867</v>
      </c>
      <c r="F190" s="5" t="n">
        <f aca="false">IFERROR(IF(OR(C190=0,C190="",D190=""),"",(D190-C190)/ABS(C190)),"")</f>
        <v>0.129074315514994</v>
      </c>
      <c r="G190" s="5" t="n">
        <f aca="false">IFERROR(IF(OR(B190&lt;=0,D190&lt;=0,B190="",D190=""),"",(D190/B190)^(1/2)-1),"")</f>
        <v>0.114660360286861</v>
      </c>
    </row>
    <row r="191" customFormat="false" ht="15" hidden="false" customHeight="false" outlineLevel="0" collapsed="false">
      <c r="A191" s="3" t="s">
        <v>196</v>
      </c>
      <c r="B191" s="4" t="n">
        <v>2.05</v>
      </c>
      <c r="C191" s="4" t="n">
        <v>2.51</v>
      </c>
      <c r="D191" s="4" t="n">
        <v>3.45</v>
      </c>
      <c r="E191" s="5" t="n">
        <f aca="false">IFERROR(IF(OR(B191=0,B191="",C191=""),"",(C191-B191)/ABS(B191)),"")</f>
        <v>0.224390243902439</v>
      </c>
      <c r="F191" s="5" t="n">
        <f aca="false">IFERROR(IF(OR(C191=0,C191="",D191=""),"",(D191-C191)/ABS(C191)),"")</f>
        <v>0.374501992031873</v>
      </c>
      <c r="G191" s="5" t="n">
        <f aca="false">IFERROR(IF(OR(B191&lt;=0,D191&lt;=0,B191="",D191=""),"",(D191/B191)^(1/2)-1),"")</f>
        <v>0.297276697265581</v>
      </c>
    </row>
    <row r="192" customFormat="false" ht="15" hidden="false" customHeight="false" outlineLevel="0" collapsed="false">
      <c r="A192" s="3" t="s">
        <v>197</v>
      </c>
      <c r="B192" s="4" t="n">
        <v>3.11</v>
      </c>
      <c r="C192" s="4" t="n">
        <v>3.9</v>
      </c>
      <c r="D192" s="4" t="n">
        <v>4.9</v>
      </c>
      <c r="E192" s="5" t="n">
        <f aca="false">IFERROR(IF(OR(B192=0,B192="",C192=""),"",(C192-B192)/ABS(B192)),"")</f>
        <v>0.254019292604502</v>
      </c>
      <c r="F192" s="5" t="n">
        <f aca="false">IFERROR(IF(OR(C192=0,C192="",D192=""),"",(D192-C192)/ABS(C192)),"")</f>
        <v>0.256410256410257</v>
      </c>
      <c r="G192" s="5" t="n">
        <f aca="false">IFERROR(IF(OR(B192&lt;=0,D192&lt;=0,B192="",D192=""),"",(D192/B192)^(1/2)-1),"")</f>
        <v>0.255214205211457</v>
      </c>
    </row>
    <row r="193" customFormat="false" ht="15" hidden="false" customHeight="false" outlineLevel="0" collapsed="false">
      <c r="A193" s="3" t="s">
        <v>198</v>
      </c>
      <c r="B193" s="4" t="n">
        <v>14.89</v>
      </c>
      <c r="C193" s="4" t="n">
        <v>17.02</v>
      </c>
      <c r="D193" s="4" t="n">
        <v>19.53</v>
      </c>
      <c r="E193" s="5" t="n">
        <f aca="false">IFERROR(IF(OR(B193=0,B193="",C193=""),"",(C193-B193)/ABS(B193)),"")</f>
        <v>0.143049026192075</v>
      </c>
      <c r="F193" s="5" t="n">
        <f aca="false">IFERROR(IF(OR(C193=0,C193="",D193=""),"",(D193-C193)/ABS(C193)),"")</f>
        <v>0.147473560517039</v>
      </c>
      <c r="G193" s="5" t="n">
        <f aca="false">IFERROR(IF(OR(B193&lt;=0,D193&lt;=0,B193="",D193=""),"",(D193/B193)^(1/2)-1),"")</f>
        <v>0.145259156667239</v>
      </c>
    </row>
    <row r="194" customFormat="false" ht="15" hidden="false" customHeight="false" outlineLevel="0" collapsed="false">
      <c r="A194" s="3" t="s">
        <v>199</v>
      </c>
      <c r="B194" s="4" t="n">
        <v>3.66</v>
      </c>
      <c r="C194" s="4" t="n">
        <v>5.2</v>
      </c>
      <c r="D194" s="4" t="n">
        <v>6.37</v>
      </c>
      <c r="E194" s="5" t="n">
        <f aca="false">IFERROR(IF(OR(B194=0,B194="",C194=""),"",(C194-B194)/ABS(B194)),"")</f>
        <v>0.420765027322404</v>
      </c>
      <c r="F194" s="5" t="n">
        <f aca="false">IFERROR(IF(OR(C194=0,C194="",D194=""),"",(D194-C194)/ABS(C194)),"")</f>
        <v>0.225</v>
      </c>
      <c r="G194" s="5" t="n">
        <f aca="false">IFERROR(IF(OR(B194&lt;=0,D194&lt;=0,B194="",D194=""),"",(D194/B194)^(1/2)-1),"")</f>
        <v>0.319256289911079</v>
      </c>
    </row>
    <row r="195" customFormat="false" ht="15" hidden="false" customHeight="false" outlineLevel="0" collapsed="false">
      <c r="A195" s="3" t="s">
        <v>200</v>
      </c>
      <c r="B195" s="4" t="n">
        <v>5.71</v>
      </c>
      <c r="C195" s="4" t="n">
        <v>6.6</v>
      </c>
      <c r="D195" s="4" t="n">
        <v>7.76</v>
      </c>
      <c r="E195" s="5" t="n">
        <f aca="false">IFERROR(IF(OR(B195=0,B195="",C195=""),"",(C195-B195)/ABS(B195)),"")</f>
        <v>0.155866900175131</v>
      </c>
      <c r="F195" s="5" t="n">
        <f aca="false">IFERROR(IF(OR(C195=0,C195="",D195=""),"",(D195-C195)/ABS(C195)),"")</f>
        <v>0.175757575757576</v>
      </c>
      <c r="G195" s="5" t="n">
        <f aca="false">IFERROR(IF(OR(B195&lt;=0,D195&lt;=0,B195="",D195=""),"",(D195/B195)^(1/2)-1),"")</f>
        <v>0.165769816236609</v>
      </c>
    </row>
    <row r="196" customFormat="false" ht="15" hidden="false" customHeight="false" outlineLevel="0" collapsed="false">
      <c r="A196" s="3" t="s">
        <v>201</v>
      </c>
      <c r="B196" s="4" t="n">
        <v>7.79</v>
      </c>
      <c r="C196" s="4" t="n">
        <v>9.43</v>
      </c>
      <c r="D196" s="4" t="n">
        <v>11.19</v>
      </c>
      <c r="E196" s="5" t="n">
        <f aca="false">IFERROR(IF(OR(B196=0,B196="",C196=""),"",(C196-B196)/ABS(B196)),"")</f>
        <v>0.210526315789474</v>
      </c>
      <c r="F196" s="5" t="n">
        <f aca="false">IFERROR(IF(OR(C196=0,C196="",D196=""),"",(D196-C196)/ABS(C196)),"")</f>
        <v>0.186638388123012</v>
      </c>
      <c r="G196" s="5" t="n">
        <f aca="false">IFERROR(IF(OR(B196&lt;=0,D196&lt;=0,B196="",D196=""),"",(D196/B196)^(1/2)-1),"")</f>
        <v>0.198522839227067</v>
      </c>
    </row>
    <row r="197" customFormat="false" ht="15" hidden="false" customHeight="false" outlineLevel="0" collapsed="false">
      <c r="A197" s="3" t="s">
        <v>202</v>
      </c>
      <c r="B197" s="4" t="n">
        <v>3.31</v>
      </c>
      <c r="C197" s="4" t="n">
        <v>4.34</v>
      </c>
      <c r="D197" s="4" t="n">
        <v>5.23</v>
      </c>
      <c r="E197" s="5" t="n">
        <f aca="false">IFERROR(IF(OR(B197=0,B197="",C197=""),"",(C197-B197)/ABS(B197)),"")</f>
        <v>0.311178247734139</v>
      </c>
      <c r="F197" s="5" t="n">
        <f aca="false">IFERROR(IF(OR(C197=0,C197="",D197=""),"",(D197-C197)/ABS(C197)),"")</f>
        <v>0.205069124423963</v>
      </c>
      <c r="G197" s="5" t="n">
        <f aca="false">IFERROR(IF(OR(B197&lt;=0,D197&lt;=0,B197="",D197=""),"",(D197/B197)^(1/2)-1),"")</f>
        <v>0.257004543731137</v>
      </c>
    </row>
    <row r="198" customFormat="false" ht="15" hidden="false" customHeight="false" outlineLevel="0" collapsed="false">
      <c r="A198" s="3" t="s">
        <v>203</v>
      </c>
      <c r="B198" s="4" t="n">
        <v>18.37</v>
      </c>
      <c r="C198" s="4" t="n">
        <v>20.81</v>
      </c>
      <c r="D198" s="4" t="n">
        <v>24.51</v>
      </c>
      <c r="E198" s="5" t="n">
        <f aca="false">IFERROR(IF(OR(B198=0,B198="",C198=""),"",(C198-B198)/ABS(B198)),"")</f>
        <v>0.132825258573761</v>
      </c>
      <c r="F198" s="5" t="n">
        <f aca="false">IFERROR(IF(OR(C198=0,C198="",D198=""),"",(D198-C198)/ABS(C198)),"")</f>
        <v>0.177799135031235</v>
      </c>
      <c r="G198" s="5" t="n">
        <f aca="false">IFERROR(IF(OR(B198&lt;=0,D198&lt;=0,B198="",D198=""),"",(D198/B198)^(1/2)-1),"")</f>
        <v>0.155093333756936</v>
      </c>
    </row>
    <row r="199" customFormat="false" ht="15" hidden="false" customHeight="false" outlineLevel="0" collapsed="false">
      <c r="A199" s="3" t="s">
        <v>204</v>
      </c>
      <c r="B199" s="4" t="n">
        <v>6.12</v>
      </c>
      <c r="C199" s="4" t="n">
        <v>6.67</v>
      </c>
      <c r="D199" s="4" t="n">
        <v>7.02</v>
      </c>
      <c r="E199" s="5" t="n">
        <f aca="false">IFERROR(IF(OR(B199=0,B199="",C199=""),"",(C199-B199)/ABS(B199)),"")</f>
        <v>0.0898692810457516</v>
      </c>
      <c r="F199" s="5" t="n">
        <f aca="false">IFERROR(IF(OR(C199=0,C199="",D199=""),"",(D199-C199)/ABS(C199)),"")</f>
        <v>0.0524737631184407</v>
      </c>
      <c r="G199" s="5" t="n">
        <f aca="false">IFERROR(IF(OR(B199&lt;=0,D199&lt;=0,B199="",D199=""),"",(D199/B199)^(1/2)-1),"")</f>
        <v>0.0710083209431249</v>
      </c>
    </row>
    <row r="200" customFormat="false" ht="15" hidden="false" customHeight="false" outlineLevel="0" collapsed="false">
      <c r="A200" s="3" t="s">
        <v>205</v>
      </c>
      <c r="B200" s="4" t="n">
        <v>13.11</v>
      </c>
      <c r="C200" s="4" t="n">
        <v>14.85</v>
      </c>
      <c r="D200" s="4" t="n">
        <v>16.78</v>
      </c>
      <c r="E200" s="5" t="n">
        <f aca="false">IFERROR(IF(OR(B200=0,B200="",C200=""),"",(C200-B200)/ABS(B200)),"")</f>
        <v>0.132723112128146</v>
      </c>
      <c r="F200" s="5" t="n">
        <f aca="false">IFERROR(IF(OR(C200=0,C200="",D200=""),"",(D200-C200)/ABS(C200)),"")</f>
        <v>0.12996632996633</v>
      </c>
      <c r="G200" s="5" t="n">
        <f aca="false">IFERROR(IF(OR(B200&lt;=0,D200&lt;=0,B200="",D200=""),"",(D200/B200)^(1/2)-1),"")</f>
        <v>0.131343881355038</v>
      </c>
    </row>
    <row r="201" customFormat="false" ht="15" hidden="false" customHeight="false" outlineLevel="0" collapsed="false">
      <c r="A201" s="3" t="s">
        <v>206</v>
      </c>
      <c r="B201" s="4" t="n">
        <v>2.01</v>
      </c>
      <c r="C201" s="4" t="n">
        <v>2.07</v>
      </c>
      <c r="D201" s="4" t="n">
        <v>1.74</v>
      </c>
      <c r="E201" s="5" t="n">
        <f aca="false">IFERROR(IF(OR(B201=0,B201="",C201=""),"",(C201-B201)/ABS(B201)),"")</f>
        <v>0.0298507462686567</v>
      </c>
      <c r="F201" s="5" t="n">
        <f aca="false">IFERROR(IF(OR(C201=0,C201="",D201=""),"",(D201-C201)/ABS(C201)),"")</f>
        <v>-0.159420289855072</v>
      </c>
      <c r="G201" s="5" t="n">
        <f aca="false">IFERROR(IF(OR(B201&lt;=0,D201&lt;=0,B201="",D201=""),"",(D201/B201)^(1/2)-1),"")</f>
        <v>-0.0695852313129134</v>
      </c>
    </row>
    <row r="202" customFormat="false" ht="15" hidden="false" customHeight="false" outlineLevel="0" collapsed="false">
      <c r="A202" s="3" t="s">
        <v>207</v>
      </c>
      <c r="B202" s="4" t="n">
        <v>3.29</v>
      </c>
      <c r="C202" s="4" t="n">
        <v>4.33</v>
      </c>
      <c r="D202" s="4" t="n">
        <v>5.29</v>
      </c>
      <c r="E202" s="5" t="n">
        <f aca="false">IFERROR(IF(OR(B202=0,B202="",C202=""),"",(C202-B202)/ABS(B202)),"")</f>
        <v>0.316109422492401</v>
      </c>
      <c r="F202" s="5" t="n">
        <f aca="false">IFERROR(IF(OR(C202=0,C202="",D202=""),"",(D202-C202)/ABS(C202)),"")</f>
        <v>0.221709006928406</v>
      </c>
      <c r="G202" s="5" t="n">
        <f aca="false">IFERROR(IF(OR(B202&lt;=0,D202&lt;=0,B202="",D202=""),"",(D202/B202)^(1/2)-1),"")</f>
        <v>0.268031046765934</v>
      </c>
    </row>
    <row r="203" customFormat="false" ht="15" hidden="false" customHeight="false" outlineLevel="0" collapsed="false">
      <c r="A203" s="3" t="s">
        <v>208</v>
      </c>
      <c r="B203" s="4" t="n">
        <v>6.49</v>
      </c>
      <c r="C203" s="4" t="n">
        <v>8.84</v>
      </c>
      <c r="D203" s="4" t="n">
        <v>11.24</v>
      </c>
      <c r="E203" s="5" t="n">
        <f aca="false">IFERROR(IF(OR(B203=0,B203="",C203=""),"",(C203-B203)/ABS(B203)),"")</f>
        <v>0.362095531587057</v>
      </c>
      <c r="F203" s="5" t="n">
        <f aca="false">IFERROR(IF(OR(C203=0,C203="",D203=""),"",(D203-C203)/ABS(C203)),"")</f>
        <v>0.271493212669683</v>
      </c>
      <c r="G203" s="5" t="n">
        <f aca="false">IFERROR(IF(OR(B203&lt;=0,D203&lt;=0,B203="",D203=""),"",(D203/B203)^(1/2)-1),"")</f>
        <v>0.316014902431066</v>
      </c>
    </row>
    <row r="204" customFormat="false" ht="15" hidden="false" customHeight="false" outlineLevel="0" collapsed="false">
      <c r="A204" s="3" t="s">
        <v>209</v>
      </c>
      <c r="B204" s="4" t="n">
        <v>10.72</v>
      </c>
      <c r="C204" s="4" t="n">
        <v>12.6</v>
      </c>
      <c r="D204" s="4" t="n">
        <v>14.57</v>
      </c>
      <c r="E204" s="5" t="n">
        <f aca="false">IFERROR(IF(OR(B204=0,B204="",C204=""),"",(C204-B204)/ABS(B204)),"")</f>
        <v>0.175373134328358</v>
      </c>
      <c r="F204" s="5" t="n">
        <f aca="false">IFERROR(IF(OR(C204=0,C204="",D204=""),"",(D204-C204)/ABS(C204)),"")</f>
        <v>0.156349206349206</v>
      </c>
      <c r="G204" s="5" t="n">
        <f aca="false">IFERROR(IF(OR(B204&lt;=0,D204&lt;=0,B204="",D204=""),"",(D204/B204)^(1/2)-1),"")</f>
        <v>0.165822366848731</v>
      </c>
    </row>
    <row r="205" customFormat="false" ht="15" hidden="false" customHeight="false" outlineLevel="0" collapsed="false">
      <c r="A205" s="3" t="s">
        <v>210</v>
      </c>
      <c r="B205" s="4" t="n">
        <v>9.93</v>
      </c>
      <c r="C205" s="4" t="n">
        <v>17.42</v>
      </c>
      <c r="D205" s="4" t="n">
        <v>25.05</v>
      </c>
      <c r="E205" s="5" t="n">
        <f aca="false">IFERROR(IF(OR(B205=0,B205="",C205=""),"",(C205-B205)/ABS(B205)),"")</f>
        <v>0.754279959718026</v>
      </c>
      <c r="F205" s="5" t="n">
        <f aca="false">IFERROR(IF(OR(C205=0,C205="",D205=""),"",(D205-C205)/ABS(C205)),"")</f>
        <v>0.438002296211251</v>
      </c>
      <c r="G205" s="5" t="n">
        <f aca="false">IFERROR(IF(OR(B205&lt;=0,D205&lt;=0,B205="",D205=""),"",(D205/B205)^(1/2)-1),"")</f>
        <v>0.588287949419722</v>
      </c>
    </row>
    <row r="206" customFormat="false" ht="15" hidden="false" customHeight="false" outlineLevel="0" collapsed="false">
      <c r="A206" s="3" t="s">
        <v>211</v>
      </c>
      <c r="B206" s="4" t="n">
        <v>4.93</v>
      </c>
      <c r="C206" s="4" t="n">
        <v>5.3</v>
      </c>
      <c r="D206" s="4"/>
      <c r="E206" s="5" t="n">
        <f aca="false">IFERROR(IF(OR(B206=0,B206="",C206=""),"",(C206-B206)/ABS(B206)),"")</f>
        <v>0.0750507099391481</v>
      </c>
      <c r="F206" s="5" t="str">
        <f aca="false">IFERROR(IF(OR(C206=0,C206="",D206=""),"",(D206-C206)/ABS(C206)),"")</f>
        <v/>
      </c>
      <c r="G206" s="5" t="str">
        <f aca="false">IFERROR(IF(OR(B206&lt;=0,D206&lt;=0,B206="",D206=""),"",(D206/B206)^(1/2)-1),"")</f>
        <v/>
      </c>
    </row>
    <row r="207" customFormat="false" ht="15" hidden="false" customHeight="false" outlineLevel="0" collapsed="false">
      <c r="A207" s="3" t="s">
        <v>212</v>
      </c>
      <c r="B207" s="4" t="n">
        <v>2.91</v>
      </c>
      <c r="C207" s="4" t="n">
        <v>3.29</v>
      </c>
      <c r="D207" s="4" t="n">
        <v>3.71</v>
      </c>
      <c r="E207" s="5" t="n">
        <f aca="false">IFERROR(IF(OR(B207=0,B207="",C207=""),"",(C207-B207)/ABS(B207)),"")</f>
        <v>0.130584192439863</v>
      </c>
      <c r="F207" s="5" t="n">
        <f aca="false">IFERROR(IF(OR(C207=0,C207="",D207=""),"",(D207-C207)/ABS(C207)),"")</f>
        <v>0.127659574468085</v>
      </c>
      <c r="G207" s="5" t="n">
        <f aca="false">IFERROR(IF(OR(B207&lt;=0,D207&lt;=0,B207="",D207=""),"",(D207/B207)^(1/2)-1),"")</f>
        <v>0.129120936546249</v>
      </c>
    </row>
  </sheetData>
  <autoFilter ref="A1:G207"/>
  <conditionalFormatting sqref="E2:E207">
    <cfRule type="colorScale" priority="2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F2:F207">
    <cfRule type="colorScale" priority="3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G2:G207">
    <cfRule type="colorScale" priority="4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6" t="s">
        <v>213</v>
      </c>
      <c r="B1" s="7" t="s">
        <v>214</v>
      </c>
    </row>
    <row r="2" customFormat="false" ht="15" hidden="false" customHeight="true" outlineLevel="0" collapsed="false">
      <c r="A2" s="6" t="s">
        <v>215</v>
      </c>
      <c r="B2" s="7" t="s">
        <v>216</v>
      </c>
    </row>
    <row r="3" customFormat="false" ht="15" hidden="false" customHeight="true" outlineLevel="0" collapsed="false">
      <c r="A3" s="6" t="s">
        <v>217</v>
      </c>
      <c r="B3" s="7" t="s">
        <v>218</v>
      </c>
    </row>
    <row r="4" customFormat="false" ht="15" hidden="false" customHeight="true" outlineLevel="0" collapsed="false">
      <c r="A4" s="6" t="s">
        <v>219</v>
      </c>
      <c r="B4" s="7" t="s">
        <v>220</v>
      </c>
    </row>
    <row r="5" customFormat="false" ht="15" hidden="false" customHeight="true" outlineLevel="0" collapsed="false">
      <c r="A5" s="6" t="s">
        <v>221</v>
      </c>
      <c r="B5" s="7" t="s">
        <v>222</v>
      </c>
    </row>
    <row r="6" customFormat="false" ht="15" hidden="false" customHeight="true" outlineLevel="0" collapsed="false">
      <c r="A6" s="6" t="s">
        <v>223</v>
      </c>
      <c r="B6" s="7" t="s">
        <v>224</v>
      </c>
    </row>
    <row r="7" customFormat="false" ht="23.25" hidden="false" customHeight="true" outlineLevel="0" collapsed="false">
      <c r="A7" s="6" t="s">
        <v>225</v>
      </c>
      <c r="B7" s="7" t="s">
        <v>226</v>
      </c>
    </row>
    <row r="8" customFormat="false" ht="23.25" hidden="false" customHeight="true" outlineLevel="0" collapsed="false">
      <c r="A8" s="6" t="s">
        <v>227</v>
      </c>
      <c r="B8" s="7" t="s">
        <v>228</v>
      </c>
    </row>
    <row r="9" customFormat="false" ht="15" hidden="false" customHeight="true" outlineLevel="0" collapsed="false">
      <c r="A9" s="6" t="s">
        <v>229</v>
      </c>
      <c r="B9" s="7" t="s">
        <v>230</v>
      </c>
    </row>
    <row r="10" customFormat="false" ht="15" hidden="false" customHeight="true" outlineLevel="0" collapsed="false">
      <c r="A10" s="6" t="s">
        <v>231</v>
      </c>
      <c r="B10" s="7" t="s">
        <v>232</v>
      </c>
    </row>
    <row r="11" customFormat="false" ht="23.25" hidden="false" customHeight="true" outlineLevel="0" collapsed="false">
      <c r="A11" s="6" t="s">
        <v>233</v>
      </c>
      <c r="B11" s="7" t="s">
        <v>234</v>
      </c>
    </row>
    <row r="12" customFormat="false" ht="15" hidden="false" customHeight="true" outlineLevel="0" collapsed="false">
      <c r="A12" s="6" t="s">
        <v>235</v>
      </c>
      <c r="B12" s="7" t="s">
        <v>236</v>
      </c>
    </row>
    <row r="13" customFormat="false" ht="23.85" hidden="false" customHeight="false" outlineLevel="0" collapsed="false">
      <c r="A13" s="6" t="s">
        <v>237</v>
      </c>
      <c r="B13" s="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2026-05-25T02:41:31Z</dcterms:created>
  <dc:creator>openpyxl</dc:creator>
  <dc:description/>
  <dc:language>en-US</dc:language>
  <cp:lastModifiedBy/>
  <dcterms:modified xsi:type="dcterms:W3CDTF">2026-05-26T00:53:58Z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