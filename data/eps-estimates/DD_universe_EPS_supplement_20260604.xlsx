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S Estimates" sheetId="1" state="visible" r:id="rId3"/>
    <sheet name="Notes" sheetId="2" state="visible" r:id="rId4"/>
  </sheets>
  <definedNames>
    <definedName function="false" hidden="true" localSheetId="0" name="_xlnm._FilterDatabase" vbProcedure="false">'EPS Estimates'!$A$1:$G$31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<sst xmlns="http://schemas.openxmlformats.org/spreadsheetml/2006/main" count="55" uniqueCount="55">
  <si>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Ticker</t>
  </si>
  <si>
    <t xml:space="preserve">FY1E EPS (Norm Est Avg)</t>
  </si>
  <si>
    <t xml:space="preserve">FY2E EPS (Norm Est Avg)</t>
  </si>
  <si>
    <t xml:space="preserve">FY3E EPS (Norm Est Avg)</t>
  </si>
  <si>
    <t xml:space="preserve">FY1→FY2 Growth %</t>
  </si>
  <si>
    <t xml:space="preserve">FY2→FY3 Growth %</t>
  </si>
  <si>
    <t xml:space="preserve">FY1→FY3 CAGR %</t>
  </si>
  <si>
    <t xml:space="preserve">2327</t>
  </si>
  <si>
    <t xml:space="preserve">2345</t>
  </si>
  <si>
    <t xml:space="preserve">2368</t>
  </si>
  <si>
    <t xml:space="preserve">3443</t>
  </si>
  <si>
    <t xml:space="preserve">3653</t>
  </si>
  <si>
    <t xml:space="preserve">5274</t>
  </si>
  <si>
    <t xml:space="preserve">ABB</t>
  </si>
  <si>
    <t xml:space="preserve">ABBV</t>
  </si>
  <si>
    <t xml:space="preserve">BHP</t>
  </si>
  <si>
    <t xml:space="preserve">CAH</t>
  </si>
  <si>
    <t xml:space="preserve">COF</t>
  </si>
  <si>
    <t xml:space="preserve">COR</t>
  </si>
  <si>
    <t xml:space="preserve">EHC</t>
  </si>
  <si>
    <t xml:space="preserve">ESLT</t>
  </si>
  <si>
    <t xml:space="preserve">GILD</t>
  </si>
  <si>
    <t xml:space="preserve">J</t>
  </si>
  <si>
    <t xml:space="preserve">LEU</t>
  </si>
  <si>
    <t xml:space="preserve">MCK</t>
  </si>
  <si>
    <t xml:space="preserve">MP</t>
  </si>
  <si>
    <t xml:space="preserve">MRK</t>
  </si>
  <si>
    <t xml:space="preserve">NUE</t>
  </si>
  <si>
    <t xml:space="preserve">RACE</t>
  </si>
  <si>
    <t xml:space="preserve">RIO</t>
  </si>
  <si>
    <t xml:space="preserve">RKLB</t>
  </si>
  <si>
    <t xml:space="preserve">SOFI</t>
  </si>
  <si>
    <t xml:space="preserve">SU.FR</t>
  </si>
  <si>
    <t xml:space="preserve">TMDX</t>
  </si>
  <si>
    <t xml:space="preserve">TPC</t>
  </si>
  <si>
    <t xml:space="preserve">UNH</t>
  </si>
  <si>
    <t xml:space="preserve">VALE</t>
  </si>
  <si>
    <t xml:space="preserve">Source</t>
  </si>
  <si>
    <t xml:space="preserve">Koyfin watchlist – 6/4 supplement screenshot</t>
  </si>
  <si>
    <t xml:space="preserve">Snapshot date</t>
  </si>
  <si>
    <t xml:space="preserve">2026-06-04 (supplement batch)</t>
  </si>
  <si>
    <t xml:space="preserve">Total tickers</t>
  </si>
  <si>
    <t xml:space="preserve">30</t>
  </si>
  <si>
    <t xml:space="preserve">Data fields</t>
  </si>
  <si>
    <t xml:space="preserve">Normalized - Est Avg (consensus mean)</t>
  </si>
  <si>
    <t xml:space="preserve">ABB dedup</t>
  </si>
  <si>
    <t xml:space="preserve">Screenshot showed ABB twice. Kept ABB Ltd (3.13/3.40/3.73); dropped the all-negative duplicate (-0.02/-0.01/-0.01) — not ABB Ltd.</t>
  </si>
  <si>
    <t xml:space="preserve">SU dedup</t>
  </si>
  <si>
    <t xml:space="preserve">Screenshot showed SU twice. Kept Schneider Electric as SU.FR (11.48/13.32/15.24); dropped Suncor Energy (7.14/5.33/6.26) per prior decision.</t>
  </si>
  <si>
    <t xml:space="preserve">Missing / negative</t>
  </si>
  <si>
    <t xml:space="preserve">ESLT FY3E missing; GILD FY1E negative; RKLB FY1E &amp; FY2E negative → CAGR blank where applicable</t>
  </si>
  <si>
    <t xml:space="preserve">Cycle/declining</t>
  </si>
  <si>
    <t xml:space="preserve">BHP, RIO, VALE all show FY3 &lt; FY1 (mining/commodity rollover); LEU declining all 3 years</t>
  </si>
  <si>
    <t xml:space="preserve">Note</t>
  </si>
  <si>
    <t xml:space="preserve">This is the 6/4 supplement (mostly mining, healthcare, defense, rare earth names). Merge into 20260604 main file if you want one combined universe.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</si>
</sst>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;\(0.0%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E8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false" outlineLevel="0" max="7" min="5" style="0" width="1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0.56</v>
      </c>
      <c r="C2" s="3" t="n">
        <v>0.76</v>
      </c>
      <c r="D2" s="3" t="n">
        <v>1.03</v>
      </c>
      <c r="E2" s="4" t="n">
        <f aca="false">IFERROR(IF(OR(B2=0,B2="",C2=""),"",(C2-B2)/ABS(B2)),"")</f>
        <v>0.357142857142857</v>
      </c>
      <c r="F2" s="4" t="n">
        <f aca="false">IFERROR(IF(OR(C2=0,C2="",D2=""),"",(D2-C2)/ABS(C2)),"")</f>
        <v>0.355263157894737</v>
      </c>
      <c r="G2" s="4" t="n">
        <f aca="false">IFERROR(IF(OR(B2&lt;=0,D2&lt;=0,B2="",D2=""),"",(D2/B2)^(1/2)-1),"")</f>
        <v>0.356202681860538</v>
      </c>
    </row>
    <row r="3" customFormat="false" ht="15" hidden="false" customHeight="false" outlineLevel="0" collapsed="false">
      <c r="A3" s="2" t="s">
        <v>8</v>
      </c>
      <c r="B3" s="3" t="n">
        <v>2.51</v>
      </c>
      <c r="C3" s="3" t="n">
        <v>3.15</v>
      </c>
      <c r="D3" s="3" t="n">
        <v>4.44</v>
      </c>
      <c r="E3" s="4" t="n">
        <f aca="false">IFERROR(IF(OR(B3=0,B3="",C3=""),"",(C3-B3)/ABS(B3)),"")</f>
        <v>0.254980079681275</v>
      </c>
      <c r="F3" s="4" t="n">
        <f aca="false">IFERROR(IF(OR(C3=0,C3="",D3=""),"",(D3-C3)/ABS(C3)),"")</f>
        <v>0.40952380952381</v>
      </c>
      <c r="G3" s="4" t="n">
        <f aca="false">IFERROR(IF(OR(B3&lt;=0,D3&lt;=0,B3="",D3=""),"",(D3/B3)^(1/2)-1),"")</f>
        <v>0.330009136355403</v>
      </c>
    </row>
    <row r="4" customFormat="false" ht="15" hidden="false" customHeight="false" outlineLevel="0" collapsed="false">
      <c r="A4" s="2" t="s">
        <v>9</v>
      </c>
      <c r="B4" s="3" t="n">
        <v>1.12</v>
      </c>
      <c r="C4" s="3" t="n">
        <v>1.93</v>
      </c>
      <c r="D4" s="3" t="n">
        <v>2.88</v>
      </c>
      <c r="E4" s="4" t="n">
        <f aca="false">IFERROR(IF(OR(B4=0,B4="",C4=""),"",(C4-B4)/ABS(B4)),"")</f>
        <v>0.723214285714286</v>
      </c>
      <c r="F4" s="4" t="n">
        <f aca="false">IFERROR(IF(OR(C4=0,C4="",D4=""),"",(D4-C4)/ABS(C4)),"")</f>
        <v>0.492227979274611</v>
      </c>
      <c r="G4" s="4" t="n">
        <f aca="false">IFERROR(IF(OR(B4&lt;=0,D4&lt;=0,B4="",D4=""),"",(D4/B4)^(1/2)-1),"")</f>
        <v>0.603567451474546</v>
      </c>
    </row>
    <row r="5" customFormat="false" ht="15" hidden="false" customHeight="false" outlineLevel="0" collapsed="false">
      <c r="A5" s="2" t="s">
        <v>10</v>
      </c>
      <c r="B5" s="3" t="n">
        <v>1.51</v>
      </c>
      <c r="C5" s="3" t="n">
        <v>2.85</v>
      </c>
      <c r="D5" s="3" t="n">
        <v>3.96</v>
      </c>
      <c r="E5" s="4" t="n">
        <f aca="false">IFERROR(IF(OR(B5=0,B5="",C5=""),"",(C5-B5)/ABS(B5)),"")</f>
        <v>0.887417218543046</v>
      </c>
      <c r="F5" s="4" t="n">
        <f aca="false">IFERROR(IF(OR(C5=0,C5="",D5=""),"",(D5-C5)/ABS(C5)),"")</f>
        <v>0.389473684210526</v>
      </c>
      <c r="G5" s="4" t="n">
        <f aca="false">IFERROR(IF(OR(B5&lt;=0,D5&lt;=0,B5="",D5=""),"",(D5/B5)^(1/2)-1),"")</f>
        <v>0.619418585879324</v>
      </c>
    </row>
    <row r="6" customFormat="false" ht="15" hidden="false" customHeight="false" outlineLevel="0" collapsed="false">
      <c r="A6" s="2" t="s">
        <v>11</v>
      </c>
      <c r="B6" s="3" t="n">
        <v>1.82</v>
      </c>
      <c r="C6" s="3" t="n">
        <v>3.73</v>
      </c>
      <c r="D6" s="3" t="n">
        <v>5.8</v>
      </c>
      <c r="E6" s="4" t="n">
        <f aca="false">IFERROR(IF(OR(B6=0,B6="",C6=""),"",(C6-B6)/ABS(B6)),"")</f>
        <v>1.04945054945055</v>
      </c>
      <c r="F6" s="4" t="n">
        <f aca="false">IFERROR(IF(OR(C6=0,C6="",D6=""),"",(D6-C6)/ABS(C6)),"")</f>
        <v>0.554959785522788</v>
      </c>
      <c r="G6" s="4" t="n">
        <f aca="false">IFERROR(IF(OR(B6&lt;=0,D6&lt;=0,B6="",D6=""),"",(D6/B6)^(1/2)-1),"")</f>
        <v>0.785164750607962</v>
      </c>
    </row>
    <row r="7" customFormat="false" ht="15" hidden="false" customHeight="false" outlineLevel="0" collapsed="false">
      <c r="A7" s="2" t="s">
        <v>12</v>
      </c>
      <c r="B7" s="3" t="n">
        <v>6.24</v>
      </c>
      <c r="C7" s="3" t="n">
        <v>9.19</v>
      </c>
      <c r="D7" s="3" t="n">
        <v>14.82</v>
      </c>
      <c r="E7" s="4" t="n">
        <f aca="false">IFERROR(IF(OR(B7=0,B7="",C7=""),"",(C7-B7)/ABS(B7)),"")</f>
        <v>0.47275641025641</v>
      </c>
      <c r="F7" s="4" t="n">
        <f aca="false">IFERROR(IF(OR(C7=0,C7="",D7=""),"",(D7-C7)/ABS(C7)),"")</f>
        <v>0.612622415669206</v>
      </c>
      <c r="G7" s="4" t="n">
        <f aca="false">IFERROR(IF(OR(B7&lt;=0,D7&lt;=0,B7="",D7=""),"",(D7/B7)^(1/2)-1),"")</f>
        <v>0.541103500742244</v>
      </c>
    </row>
    <row r="8" customFormat="false" ht="15" hidden="false" customHeight="false" outlineLevel="0" collapsed="false">
      <c r="A8" s="2" t="s">
        <v>13</v>
      </c>
      <c r="B8" s="3" t="n">
        <v>3.13</v>
      </c>
      <c r="C8" s="3" t="n">
        <v>3.4</v>
      </c>
      <c r="D8" s="3" t="n">
        <v>3.73</v>
      </c>
      <c r="E8" s="4" t="n">
        <f aca="false">IFERROR(IF(OR(B8=0,B8="",C8=""),"",(C8-B8)/ABS(B8)),"")</f>
        <v>0.0862619808306709</v>
      </c>
      <c r="F8" s="4" t="n">
        <f aca="false">IFERROR(IF(OR(C8=0,C8="",D8=""),"",(D8-C8)/ABS(C8)),"")</f>
        <v>0.0970588235294118</v>
      </c>
      <c r="G8" s="4" t="n">
        <f aca="false">IFERROR(IF(OR(B8&lt;=0,D8&lt;=0,B8="",D8=""),"",(D8/B8)^(1/2)-1),"")</f>
        <v>0.0916470541044043</v>
      </c>
    </row>
    <row r="9" customFormat="false" ht="15" hidden="false" customHeight="false" outlineLevel="0" collapsed="false">
      <c r="A9" s="2" t="s">
        <v>14</v>
      </c>
      <c r="B9" s="3" t="n">
        <v>14.25</v>
      </c>
      <c r="C9" s="3" t="n">
        <v>16.26</v>
      </c>
      <c r="D9" s="3" t="n">
        <v>17.89</v>
      </c>
      <c r="E9" s="4" t="n">
        <f aca="false">IFERROR(IF(OR(B9=0,B9="",C9=""),"",(C9-B9)/ABS(B9)),"")</f>
        <v>0.141052631578947</v>
      </c>
      <c r="F9" s="4" t="n">
        <f aca="false">IFERROR(IF(OR(C9=0,C9="",D9=""),"",(D9-C9)/ABS(C9)),"")</f>
        <v>0.100246002460025</v>
      </c>
      <c r="G9" s="4" t="n">
        <f aca="false">IFERROR(IF(OR(B9&lt;=0,D9&lt;=0,B9="",D9=""),"",(D9/B9)^(1/2)-1),"")</f>
        <v>0.120463563214453</v>
      </c>
    </row>
    <row r="10" customFormat="false" ht="15" hidden="false" customHeight="false" outlineLevel="0" collapsed="false">
      <c r="A10" s="2" t="s">
        <v>15</v>
      </c>
      <c r="B10" s="3" t="n">
        <v>2.55</v>
      </c>
      <c r="C10" s="3" t="n">
        <v>2.56</v>
      </c>
      <c r="D10" s="3" t="n">
        <v>2.46</v>
      </c>
      <c r="E10" s="4" t="n">
        <f aca="false">IFERROR(IF(OR(B10=0,B10="",C10=""),"",(C10-B10)/ABS(B10)),"")</f>
        <v>0.00392156862745107</v>
      </c>
      <c r="F10" s="4" t="n">
        <f aca="false">IFERROR(IF(OR(C10=0,C10="",D10=""),"",(D10-C10)/ABS(C10)),"")</f>
        <v>-0.0390625</v>
      </c>
      <c r="G10" s="4" t="n">
        <f aca="false">IFERROR(IF(OR(B10&lt;=0,D10&lt;=0,B10="",D10=""),"",(D10/B10)^(1/2)-1),"")</f>
        <v>-0.0178055781297976</v>
      </c>
    </row>
    <row r="11" customFormat="false" ht="15" hidden="false" customHeight="false" outlineLevel="0" collapsed="false">
      <c r="A11" s="2" t="s">
        <v>16</v>
      </c>
      <c r="B11" s="3" t="n">
        <v>10.77</v>
      </c>
      <c r="C11" s="3" t="n">
        <v>11.98</v>
      </c>
      <c r="D11" s="3" t="n">
        <v>13.52</v>
      </c>
      <c r="E11" s="4" t="n">
        <f aca="false">IFERROR(IF(OR(B11=0,B11="",C11=""),"",(C11-B11)/ABS(B11)),"")</f>
        <v>0.112349117920149</v>
      </c>
      <c r="F11" s="4" t="n">
        <f aca="false">IFERROR(IF(OR(C11=0,C11="",D11=""),"",(D11-C11)/ABS(C11)),"")</f>
        <v>0.128547579298831</v>
      </c>
      <c r="G11" s="4" t="n">
        <f aca="false">IFERROR(IF(OR(B11&lt;=0,D11&lt;=0,B11="",D11=""),"",(D11/B11)^(1/2)-1),"")</f>
        <v>0.120419075330287</v>
      </c>
    </row>
    <row r="12" customFormat="false" ht="15" hidden="false" customHeight="false" outlineLevel="0" collapsed="false">
      <c r="A12" s="2" t="s">
        <v>17</v>
      </c>
      <c r="B12" s="3" t="n">
        <v>19.7</v>
      </c>
      <c r="C12" s="3" t="n">
        <v>24.29</v>
      </c>
      <c r="D12" s="3" t="n">
        <v>28.54</v>
      </c>
      <c r="E12" s="4" t="n">
        <f aca="false">IFERROR(IF(OR(B12=0,B12="",C12=""),"",(C12-B12)/ABS(B12)),"")</f>
        <v>0.232994923857868</v>
      </c>
      <c r="F12" s="4" t="n">
        <f aca="false">IFERROR(IF(OR(C12=0,C12="",D12=""),"",(D12-C12)/ABS(C12)),"")</f>
        <v>0.174969123095924</v>
      </c>
      <c r="G12" s="4" t="n">
        <f aca="false">IFERROR(IF(OR(B12&lt;=0,D12&lt;=0,B12="",D12=""),"",(D12/B12)^(1/2)-1),"")</f>
        <v>0.203632404211105</v>
      </c>
    </row>
    <row r="13" customFormat="false" ht="15" hidden="false" customHeight="false" outlineLevel="0" collapsed="false">
      <c r="A13" s="2" t="s">
        <v>18</v>
      </c>
      <c r="B13" s="3" t="n">
        <v>17.75</v>
      </c>
      <c r="C13" s="3" t="n">
        <v>19.78</v>
      </c>
      <c r="D13" s="3" t="n">
        <v>21.9</v>
      </c>
      <c r="E13" s="4" t="n">
        <f aca="false">IFERROR(IF(OR(B13=0,B13="",C13=""),"",(C13-B13)/ABS(B13)),"")</f>
        <v>0.114366197183099</v>
      </c>
      <c r="F13" s="4" t="n">
        <f aca="false">IFERROR(IF(OR(C13=0,C13="",D13=""),"",(D13-C13)/ABS(C13)),"")</f>
        <v>0.107178968655207</v>
      </c>
      <c r="G13" s="4" t="n">
        <f aca="false">IFERROR(IF(OR(B13&lt;=0,D13&lt;=0,B13="",D13=""),"",(D13/B13)^(1/2)-1),"")</f>
        <v>0.110766769804268</v>
      </c>
    </row>
    <row r="14" customFormat="false" ht="15" hidden="false" customHeight="false" outlineLevel="0" collapsed="false">
      <c r="A14" s="2" t="s">
        <v>19</v>
      </c>
      <c r="B14" s="3" t="n">
        <v>6.01</v>
      </c>
      <c r="C14" s="3" t="n">
        <v>6.54</v>
      </c>
      <c r="D14" s="3" t="n">
        <v>7.21</v>
      </c>
      <c r="E14" s="4" t="n">
        <f aca="false">IFERROR(IF(OR(B14=0,B14="",C14=""),"",(C14-B14)/ABS(B14)),"")</f>
        <v>0.0881863560732114</v>
      </c>
      <c r="F14" s="4" t="n">
        <f aca="false">IFERROR(IF(OR(C14=0,C14="",D14=""),"",(D14-C14)/ABS(C14)),"")</f>
        <v>0.102446483180428</v>
      </c>
      <c r="G14" s="4" t="n">
        <f aca="false">IFERROR(IF(OR(B14&lt;=0,D14&lt;=0,B14="",D14=""),"",(D14/B14)^(1/2)-1),"")</f>
        <v>0.0952932124768404</v>
      </c>
    </row>
    <row r="15" customFormat="false" ht="15" hidden="false" customHeight="false" outlineLevel="0" collapsed="false">
      <c r="A15" s="2" t="s">
        <v>20</v>
      </c>
      <c r="B15" s="3" t="n">
        <v>17.09</v>
      </c>
      <c r="C15" s="3" t="n">
        <v>18.67</v>
      </c>
      <c r="D15" s="3"/>
      <c r="E15" s="4" t="n">
        <f aca="false">IFERROR(IF(OR(B15=0,B15="",C15=""),"",(C15-B15)/ABS(B15)),"")</f>
        <v>0.0924517261556467</v>
      </c>
      <c r="F15" s="4" t="str">
        <f aca="false">IFERROR(IF(OR(C15=0,C15="",D15=""),"",(D15-C15)/ABS(C15)),"")</f>
        <v/>
      </c>
      <c r="G15" s="4" t="str">
        <f aca="false">IFERROR(IF(OR(B15&lt;=0,D15&lt;=0,B15="",D15=""),"",(D15/B15)^(1/2)-1),"")</f>
        <v/>
      </c>
    </row>
    <row r="16" customFormat="false" ht="15" hidden="false" customHeight="false" outlineLevel="0" collapsed="false">
      <c r="A16" s="2" t="s">
        <v>21</v>
      </c>
      <c r="B16" s="3" t="n">
        <v>-0.79</v>
      </c>
      <c r="C16" s="3" t="n">
        <v>9.59</v>
      </c>
      <c r="D16" s="3" t="n">
        <v>10.36</v>
      </c>
      <c r="E16" s="4" t="n">
        <f aca="false">IFERROR(IF(OR(B16=0,B16="",C16=""),"",(C16-B16)/ABS(B16)),"")</f>
        <v>13.1392405063291</v>
      </c>
      <c r="F16" s="4" t="n">
        <f aca="false">IFERROR(IF(OR(C16=0,C16="",D16=""),"",(D16-C16)/ABS(C16)),"")</f>
        <v>0.0802919708029197</v>
      </c>
      <c r="G16" s="4" t="str">
        <f aca="false">IFERROR(IF(OR(B16&lt;=0,D16&lt;=0,B16="",D16=""),"",(D16/B16)^(1/2)-1),"")</f>
        <v/>
      </c>
    </row>
    <row r="17" customFormat="false" ht="15" hidden="false" customHeight="false" outlineLevel="0" collapsed="false">
      <c r="A17" s="2" t="s">
        <v>22</v>
      </c>
      <c r="B17" s="3" t="n">
        <v>7.25</v>
      </c>
      <c r="C17" s="3" t="n">
        <v>8.27</v>
      </c>
      <c r="D17" s="3" t="n">
        <v>9.34</v>
      </c>
      <c r="E17" s="4" t="n">
        <f aca="false">IFERROR(IF(OR(B17=0,B17="",C17=""),"",(C17-B17)/ABS(B17)),"")</f>
        <v>0.140689655172414</v>
      </c>
      <c r="F17" s="4" t="n">
        <f aca="false">IFERROR(IF(OR(C17=0,C17="",D17=""),"",(D17-C17)/ABS(C17)),"")</f>
        <v>0.129383313180169</v>
      </c>
      <c r="G17" s="4" t="n">
        <f aca="false">IFERROR(IF(OR(B17&lt;=0,D17&lt;=0,B17="",D17=""),"",(D17/B17)^(1/2)-1),"")</f>
        <v>0.135022405976625</v>
      </c>
    </row>
    <row r="18" customFormat="false" ht="15" hidden="false" customHeight="false" outlineLevel="0" collapsed="false">
      <c r="A18" s="2" t="s">
        <v>23</v>
      </c>
      <c r="B18" s="3" t="n">
        <v>4.16</v>
      </c>
      <c r="C18" s="3" t="n">
        <v>3.97</v>
      </c>
      <c r="D18" s="3" t="n">
        <v>3.48</v>
      </c>
      <c r="E18" s="4" t="n">
        <f aca="false">IFERROR(IF(OR(B18=0,B18="",C18=""),"",(C18-B18)/ABS(B18)),"")</f>
        <v>-0.0456730769230769</v>
      </c>
      <c r="F18" s="4" t="n">
        <f aca="false">IFERROR(IF(OR(C18=0,C18="",D18=""),"",(D18-C18)/ABS(C18)),"")</f>
        <v>-0.123425692695214</v>
      </c>
      <c r="G18" s="4" t="n">
        <f aca="false">IFERROR(IF(OR(B18&lt;=0,D18&lt;=0,B18="",D18=""),"",(D18/B18)^(1/2)-1),"")</f>
        <v>-0.0853752345696835</v>
      </c>
    </row>
    <row r="19" customFormat="false" ht="15" hidden="false" customHeight="false" outlineLevel="0" collapsed="false">
      <c r="A19" s="2" t="s">
        <v>24</v>
      </c>
      <c r="B19" s="3" t="n">
        <v>44.27</v>
      </c>
      <c r="C19" s="3" t="n">
        <v>50.33</v>
      </c>
      <c r="D19" s="3" t="n">
        <v>57.39</v>
      </c>
      <c r="E19" s="4" t="n">
        <f aca="false">IFERROR(IF(OR(B19=0,B19="",C19=""),"",(C19-B19)/ABS(B19)),"")</f>
        <v>0.136887282584143</v>
      </c>
      <c r="F19" s="4" t="n">
        <f aca="false">IFERROR(IF(OR(C19=0,C19="",D19=""),"",(D19-C19)/ABS(C19)),"")</f>
        <v>0.140274190343731</v>
      </c>
      <c r="G19" s="4" t="n">
        <f aca="false">IFERROR(IF(OR(B19&lt;=0,D19&lt;=0,B19="",D19=""),"",(D19/B19)^(1/2)-1),"")</f>
        <v>0.138579477094471</v>
      </c>
    </row>
    <row r="20" customFormat="false" ht="15" hidden="false" customHeight="false" outlineLevel="0" collapsed="false">
      <c r="A20" s="2" t="s">
        <v>25</v>
      </c>
      <c r="B20" s="3" t="n">
        <v>0.29</v>
      </c>
      <c r="C20" s="3" t="n">
        <v>1.15</v>
      </c>
      <c r="D20" s="3" t="n">
        <v>1.77</v>
      </c>
      <c r="E20" s="4" t="n">
        <f aca="false">IFERROR(IF(OR(B20=0,B20="",C20=""),"",(C20-B20)/ABS(B20)),"")</f>
        <v>2.96551724137931</v>
      </c>
      <c r="F20" s="4" t="n">
        <f aca="false">IFERROR(IF(OR(C20=0,C20="",D20=""),"",(D20-C20)/ABS(C20)),"")</f>
        <v>0.539130434782609</v>
      </c>
      <c r="G20" s="4" t="n">
        <f aca="false">IFERROR(IF(OR(B20&lt;=0,D20&lt;=0,B20="",D20=""),"",(D20/B20)^(1/2)-1),"")</f>
        <v>1.47051579146179</v>
      </c>
    </row>
    <row r="21" customFormat="false" ht="15" hidden="false" customHeight="false" outlineLevel="0" collapsed="false">
      <c r="A21" s="2" t="s">
        <v>26</v>
      </c>
      <c r="B21" s="3" t="n">
        <v>2.74</v>
      </c>
      <c r="C21" s="3" t="n">
        <v>9.56</v>
      </c>
      <c r="D21" s="3" t="n">
        <v>10.91</v>
      </c>
      <c r="E21" s="4" t="n">
        <f aca="false">IFERROR(IF(OR(B21=0,B21="",C21=""),"",(C21-B21)/ABS(B21)),"")</f>
        <v>2.48905109489051</v>
      </c>
      <c r="F21" s="4" t="n">
        <f aca="false">IFERROR(IF(OR(C21=0,C21="",D21=""),"",(D21-C21)/ABS(C21)),"")</f>
        <v>0.141213389121339</v>
      </c>
      <c r="G21" s="4" t="n">
        <f aca="false">IFERROR(IF(OR(B21&lt;=0,D21&lt;=0,B21="",D21=""),"",(D21/B21)^(1/2)-1),"")</f>
        <v>0.995432741241237</v>
      </c>
    </row>
    <row r="22" customFormat="false" ht="15" hidden="false" customHeight="false" outlineLevel="0" collapsed="false">
      <c r="A22" s="2" t="s">
        <v>27</v>
      </c>
      <c r="B22" s="3" t="n">
        <v>14.96</v>
      </c>
      <c r="C22" s="3" t="n">
        <v>16.09</v>
      </c>
      <c r="D22" s="3" t="n">
        <v>16.93</v>
      </c>
      <c r="E22" s="4" t="n">
        <f aca="false">IFERROR(IF(OR(B22=0,B22="",C22=""),"",(C22-B22)/ABS(B22)),"")</f>
        <v>0.0755347593582887</v>
      </c>
      <c r="F22" s="4" t="n">
        <f aca="false">IFERROR(IF(OR(C22=0,C22="",D22=""),"",(D22-C22)/ABS(C22)),"")</f>
        <v>0.0522063393412057</v>
      </c>
      <c r="G22" s="4" t="n">
        <f aca="false">IFERROR(IF(OR(B22&lt;=0,D22&lt;=0,B22="",D22=""),"",(D22/B22)^(1/2)-1),"")</f>
        <v>0.0638066045943735</v>
      </c>
    </row>
    <row r="23" customFormat="false" ht="15" hidden="false" customHeight="false" outlineLevel="0" collapsed="false">
      <c r="A23" s="2" t="s">
        <v>28</v>
      </c>
      <c r="B23" s="3" t="n">
        <v>11.13</v>
      </c>
      <c r="C23" s="3" t="n">
        <v>12.21</v>
      </c>
      <c r="D23" s="3" t="n">
        <v>13.17</v>
      </c>
      <c r="E23" s="4" t="n">
        <f aca="false">IFERROR(IF(OR(B23=0,B23="",C23=""),"",(C23-B23)/ABS(B23)),"")</f>
        <v>0.0970350404312668</v>
      </c>
      <c r="F23" s="4" t="n">
        <f aca="false">IFERROR(IF(OR(C23=0,C23="",D23=""),"",(D23-C23)/ABS(C23)),"")</f>
        <v>0.0786240786240785</v>
      </c>
      <c r="G23" s="4" t="n">
        <f aca="false">IFERROR(IF(OR(B23&lt;=0,D23&lt;=0,B23="",D23=""),"",(D23/B23)^(1/2)-1),"")</f>
        <v>0.0877906093102219</v>
      </c>
    </row>
    <row r="24" customFormat="false" ht="15" hidden="false" customHeight="false" outlineLevel="0" collapsed="false">
      <c r="A24" s="2" t="s">
        <v>29</v>
      </c>
      <c r="B24" s="3" t="n">
        <v>8.52</v>
      </c>
      <c r="C24" s="3" t="n">
        <v>8.44</v>
      </c>
      <c r="D24" s="3" t="n">
        <v>8.16</v>
      </c>
      <c r="E24" s="4" t="n">
        <f aca="false">IFERROR(IF(OR(B24=0,B24="",C24=""),"",(C24-B24)/ABS(B24)),"")</f>
        <v>-0.00938967136150236</v>
      </c>
      <c r="F24" s="4" t="n">
        <f aca="false">IFERROR(IF(OR(C24=0,C24="",D24=""),"",(D24-C24)/ABS(C24)),"")</f>
        <v>-0.0331753554502369</v>
      </c>
      <c r="G24" s="4" t="n">
        <f aca="false">IFERROR(IF(OR(B24&lt;=0,D24&lt;=0,B24="",D24=""),"",(D24/B24)^(1/2)-1),"")</f>
        <v>-0.0213547737442136</v>
      </c>
    </row>
    <row r="25" customFormat="false" ht="15" hidden="false" customHeight="false" outlineLevel="0" collapsed="false">
      <c r="A25" s="2" t="s">
        <v>30</v>
      </c>
      <c r="B25" s="3" t="n">
        <v>-0.12</v>
      </c>
      <c r="C25" s="3" t="n">
        <v>-0.01</v>
      </c>
      <c r="D25" s="3" t="n">
        <v>0.17</v>
      </c>
      <c r="E25" s="4" t="n">
        <f aca="false">IFERROR(IF(OR(B25=0,B25="",C25=""),"",(C25-B25)/ABS(B25)),"")</f>
        <v>0.916666666666667</v>
      </c>
      <c r="F25" s="4" t="n">
        <f aca="false">IFERROR(IF(OR(C25=0,C25="",D25=""),"",(D25-C25)/ABS(C25)),"")</f>
        <v>18</v>
      </c>
      <c r="G25" s="4" t="str">
        <f aca="false">IFERROR(IF(OR(B25&lt;=0,D25&lt;=0,B25="",D25=""),"",(D25/B25)^(1/2)-1),"")</f>
        <v/>
      </c>
    </row>
    <row r="26" customFormat="false" ht="15" hidden="false" customHeight="false" outlineLevel="0" collapsed="false">
      <c r="A26" s="2" t="s">
        <v>31</v>
      </c>
      <c r="B26" s="3" t="n">
        <v>0.58</v>
      </c>
      <c r="C26" s="3" t="n">
        <v>0.78</v>
      </c>
      <c r="D26" s="3" t="n">
        <v>0.99</v>
      </c>
      <c r="E26" s="4" t="n">
        <f aca="false">IFERROR(IF(OR(B26=0,B26="",C26=""),"",(C26-B26)/ABS(B26)),"")</f>
        <v>0.344827586206897</v>
      </c>
      <c r="F26" s="4" t="n">
        <f aca="false">IFERROR(IF(OR(C26=0,C26="",D26=""),"",(D26-C26)/ABS(C26)),"")</f>
        <v>0.269230769230769</v>
      </c>
      <c r="G26" s="4" t="n">
        <f aca="false">IFERROR(IF(OR(B26&lt;=0,D26&lt;=0,B26="",D26=""),"",(D26/B26)^(1/2)-1),"")</f>
        <v>0.306482511067078</v>
      </c>
    </row>
    <row r="27" customFormat="false" ht="15" hidden="false" customHeight="false" outlineLevel="0" collapsed="false">
      <c r="A27" s="2" t="s">
        <v>32</v>
      </c>
      <c r="B27" s="3" t="n">
        <v>11.48</v>
      </c>
      <c r="C27" s="3" t="n">
        <v>13.32</v>
      </c>
      <c r="D27" s="3" t="n">
        <v>15.24</v>
      </c>
      <c r="E27" s="4" t="n">
        <f aca="false">IFERROR(IF(OR(B27=0,B27="",C27=""),"",(C27-B27)/ABS(B27)),"")</f>
        <v>0.160278745644599</v>
      </c>
      <c r="F27" s="4" t="n">
        <f aca="false">IFERROR(IF(OR(C27=0,C27="",D27=""),"",(D27-C27)/ABS(C27)),"")</f>
        <v>0.144144144144144</v>
      </c>
      <c r="G27" s="4" t="n">
        <f aca="false">IFERROR(IF(OR(B27&lt;=0,D27&lt;=0,B27="",D27=""),"",(D27/B27)^(1/2)-1),"")</f>
        <v>0.152183202621953</v>
      </c>
    </row>
    <row r="28" customFormat="false" ht="15" hidden="false" customHeight="false" outlineLevel="0" collapsed="false">
      <c r="A28" s="2" t="s">
        <v>33</v>
      </c>
      <c r="B28" s="3" t="n">
        <v>2.17</v>
      </c>
      <c r="C28" s="3" t="n">
        <v>3.55</v>
      </c>
      <c r="D28" s="3" t="n">
        <v>4.94</v>
      </c>
      <c r="E28" s="4" t="n">
        <f aca="false">IFERROR(IF(OR(B28=0,B28="",C28=""),"",(C28-B28)/ABS(B28)),"")</f>
        <v>0.63594470046083</v>
      </c>
      <c r="F28" s="4" t="n">
        <f aca="false">IFERROR(IF(OR(C28=0,C28="",D28=""),"",(D28-C28)/ABS(C28)),"")</f>
        <v>0.391549295774648</v>
      </c>
      <c r="G28" s="4" t="n">
        <f aca="false">IFERROR(IF(OR(B28&lt;=0,D28&lt;=0,B28="",D28=""),"",(D28/B28)^(1/2)-1),"")</f>
        <v>0.5088067125555</v>
      </c>
    </row>
    <row r="29" customFormat="false" ht="15" hidden="false" customHeight="false" outlineLevel="0" collapsed="false">
      <c r="A29" s="2" t="s">
        <v>34</v>
      </c>
      <c r="B29" s="3" t="n">
        <v>5.07</v>
      </c>
      <c r="C29" s="3" t="n">
        <v>6.02</v>
      </c>
      <c r="D29" s="3" t="n">
        <v>8.05</v>
      </c>
      <c r="E29" s="4" t="n">
        <f aca="false">IFERROR(IF(OR(B29=0,B29="",C29=""),"",(C29-B29)/ABS(B29)),"")</f>
        <v>0.187376725838264</v>
      </c>
      <c r="F29" s="4" t="n">
        <f aca="false">IFERROR(IF(OR(C29=0,C29="",D29=""),"",(D29-C29)/ABS(C29)),"")</f>
        <v>0.337209302325582</v>
      </c>
      <c r="G29" s="4" t="n">
        <f aca="false">IFERROR(IF(OR(B29&lt;=0,D29&lt;=0,B29="",D29=""),"",(D29/B29)^(1/2)-1),"")</f>
        <v>0.260067935928781</v>
      </c>
    </row>
    <row r="30" customFormat="false" ht="15" hidden="false" customHeight="false" outlineLevel="0" collapsed="false">
      <c r="A30" s="2" t="s">
        <v>35</v>
      </c>
      <c r="B30" s="3" t="n">
        <v>18.39</v>
      </c>
      <c r="C30" s="3" t="n">
        <v>20.9</v>
      </c>
      <c r="D30" s="3" t="n">
        <v>24.55</v>
      </c>
      <c r="E30" s="4" t="n">
        <f aca="false">IFERROR(IF(OR(B30=0,B30="",C30=""),"",(C30-B30)/ABS(B30)),"")</f>
        <v>0.136487221315932</v>
      </c>
      <c r="F30" s="4" t="n">
        <f aca="false">IFERROR(IF(OR(C30=0,C30="",D30=""),"",(D30-C30)/ABS(C30)),"")</f>
        <v>0.174641148325359</v>
      </c>
      <c r="G30" s="4" t="n">
        <f aca="false">IFERROR(IF(OR(B30&lt;=0,D30&lt;=0,B30="",D30=""),"",(D30/B30)^(1/2)-1),"")</f>
        <v>0.155406705322262</v>
      </c>
    </row>
    <row r="31" customFormat="false" ht="15" hidden="false" customHeight="false" outlineLevel="0" collapsed="false">
      <c r="A31" s="2" t="s">
        <v>36</v>
      </c>
      <c r="B31" s="3" t="n">
        <v>2.01</v>
      </c>
      <c r="C31" s="3" t="n">
        <v>1.83</v>
      </c>
      <c r="D31" s="3" t="n">
        <v>1.74</v>
      </c>
      <c r="E31" s="4" t="n">
        <f aca="false">IFERROR(IF(OR(B31=0,B31="",C31=""),"",(C31-B31)/ABS(B31)),"")</f>
        <v>-0.08955223880597</v>
      </c>
      <c r="F31" s="4" t="n">
        <f aca="false">IFERROR(IF(OR(C31=0,C31="",D31=""),"",(D31-C31)/ABS(C31)),"")</f>
        <v>-0.0491803278688525</v>
      </c>
      <c r="G31" s="4" t="n">
        <f aca="false">IFERROR(IF(OR(B31&lt;=0,D31&lt;=0,B31="",D31=""),"",(D31/B31)^(1/2)-1),"")</f>
        <v>-0.0695852313129134</v>
      </c>
    </row>
  </sheetData>
  <autoFilter ref="A1:G31"/>
  <conditionalFormatting sqref="E2:E31">
    <cfRule type="colorScale" priority="2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F2:F31">
    <cfRule type="colorScale" priority="3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G2:G31">
    <cfRule type="colorScale" priority="4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5"/>
  </cols>
  <sheetData>
    <row r="1" customFormat="false" ht="15" hidden="false" customHeight="false" outlineLevel="0" collapsed="false">
      <c r="A1" s="5" t="s">
        <v>37</v>
      </c>
      <c r="B1" s="6" t="s">
        <v>38</v>
      </c>
    </row>
    <row r="2" customFormat="false" ht="15" hidden="false" customHeight="false" outlineLevel="0" collapsed="false">
      <c r="A2" s="5" t="s">
        <v>39</v>
      </c>
      <c r="B2" s="6" t="s">
        <v>40</v>
      </c>
    </row>
    <row r="3" customFormat="false" ht="15" hidden="false" customHeight="false" outlineLevel="0" collapsed="false">
      <c r="A3" s="5" t="s">
        <v>41</v>
      </c>
      <c r="B3" s="6" t="s">
        <v>42</v>
      </c>
    </row>
    <row r="4" customFormat="false" ht="15" hidden="false" customHeight="false" outlineLevel="0" collapsed="false">
      <c r="A4" s="5" t="s">
        <v>43</v>
      </c>
      <c r="B4" s="6" t="s">
        <v>44</v>
      </c>
    </row>
    <row r="5" customFormat="false" ht="15" hidden="false" customHeight="false" outlineLevel="0" collapsed="false">
      <c r="A5" s="5" t="s">
        <v>45</v>
      </c>
      <c r="B5" s="6" t="s">
        <v>46</v>
      </c>
    </row>
    <row r="6" customFormat="false" ht="23.85" hidden="false" customHeight="false" outlineLevel="0" collapsed="false">
      <c r="A6" s="5" t="s">
        <v>47</v>
      </c>
      <c r="B6" s="6" t="s">
        <v>48</v>
      </c>
    </row>
    <row r="7" customFormat="false" ht="15" hidden="false" customHeight="false" outlineLevel="0" collapsed="false">
      <c r="A7" s="5" t="s">
        <v>49</v>
      </c>
      <c r="B7" s="6" t="s">
        <v>50</v>
      </c>
    </row>
    <row r="8" customFormat="false" ht="15" hidden="false" customHeight="false" outlineLevel="0" collapsed="false">
      <c r="A8" s="5" t="s">
        <v>51</v>
      </c>
      <c r="B8" s="6" t="s">
        <v>52</v>
      </c>
    </row>
    <row r="9" customFormat="false" ht="23.85" hidden="false" customHeight="false" outlineLevel="0" collapsed="false">
      <c r="A9" s="5" t="s">
        <v>53</v>
      </c>
      <c r="B9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2026-06-05T01:45:33Z</dcterms:created>
  <dc:creator>openpyxl</dc:creator>
  <dc:description/>
  <dc:language>en-US</dc:language>
  <cp:lastModifiedBy/>
  <dcterms:modified xsi:type="dcterms:W3CDTF">2026-06-05T01:45:33Z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